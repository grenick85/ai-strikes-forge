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129" documentId="11_E60897F41BE170836B02CE998F75CCDC64E183C8" xr6:coauthVersionLast="47" xr6:coauthVersionMax="47" xr10:uidLastSave="{68DE930B-2077-4EFF-BCE7-C2D6806492F8}"/>
  <bookViews>
    <workbookView xWindow="240" yWindow="105" windowWidth="14805" windowHeight="8010" activeTab="2" xr2:uid="{00000000-000D-0000-FFFF-FFFF00000000}"/>
  </bookViews>
  <sheets>
    <sheet name="Sheet1" sheetId="1" r:id="rId1"/>
    <sheet name="Sheet2" sheetId="2" r:id="rId2"/>
    <sheet name="prediction logic" sheetId="6" r:id="rId3"/>
    <sheet name="Sheet3" sheetId="3" r:id="rId4"/>
    <sheet name="madden player ratings" sheetId="4" r:id="rId5"/>
    <sheet name="turnover and special teams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6" l="1"/>
  <c r="G17" i="6"/>
  <c r="G16" i="6"/>
  <c r="G14" i="6"/>
  <c r="G12" i="6"/>
  <c r="G9" i="6"/>
  <c r="G7" i="6"/>
  <c r="F14" i="6"/>
  <c r="F12" i="6"/>
  <c r="F9" i="6"/>
  <c r="F7" i="6"/>
  <c r="E14" i="6"/>
  <c r="E12" i="6"/>
  <c r="E9" i="6"/>
  <c r="E7" i="6"/>
  <c r="G4" i="6"/>
  <c r="F4" i="6"/>
  <c r="E4" i="6"/>
  <c r="G2" i="6"/>
  <c r="F2" i="6"/>
  <c r="E2" i="6"/>
  <c r="D14" i="6"/>
  <c r="D12" i="6"/>
  <c r="C14" i="6"/>
  <c r="C12" i="6"/>
  <c r="D9" i="6"/>
  <c r="D7" i="6"/>
  <c r="C9" i="6"/>
  <c r="C7" i="6"/>
  <c r="B9" i="6"/>
  <c r="B4" i="6"/>
  <c r="B14" i="6" s="1"/>
  <c r="B7" i="6"/>
  <c r="D4" i="6"/>
  <c r="C4" i="6"/>
  <c r="D2" i="6"/>
  <c r="C2" i="6"/>
  <c r="B2" i="6"/>
  <c r="B12" i="6" s="1"/>
</calcChain>
</file>

<file path=xl/sharedStrings.xml><?xml version="1.0" encoding="utf-8"?>
<sst xmlns="http://schemas.openxmlformats.org/spreadsheetml/2006/main" count="964" uniqueCount="404">
  <si>
    <t>Stats 2025</t>
  </si>
  <si>
    <t>Total</t>
  </si>
  <si>
    <t>Passing</t>
  </si>
  <si>
    <t>Rushing</t>
  </si>
  <si>
    <t>Points</t>
  </si>
  <si>
    <t>Rank</t>
  </si>
  <si>
    <t>Power</t>
  </si>
  <si>
    <t>Offense (2025)</t>
  </si>
  <si>
    <t>GP</t>
  </si>
  <si>
    <t>YDS</t>
  </si>
  <si>
    <t>YDS/G</t>
  </si>
  <si>
    <t>PTS</t>
  </si>
  <si>
    <t>PTS/G</t>
  </si>
  <si>
    <t>offense/defense</t>
  </si>
  <si>
    <t>Offense Rank</t>
  </si>
  <si>
    <t>Defense Rank</t>
  </si>
  <si>
    <t>Team Power</t>
  </si>
  <si>
    <t>Los Angeles Rams</t>
  </si>
  <si>
    <t>Dallas Cowboys</t>
  </si>
  <si>
    <t>New England Patriots</t>
  </si>
  <si>
    <t>Buffalo Bills</t>
  </si>
  <si>
    <t>Detroit Lions</t>
  </si>
  <si>
    <t>Chicago Bears</t>
  </si>
  <si>
    <t>San Francisco 49ers</t>
  </si>
  <si>
    <t>Seattle Seahawks</t>
  </si>
  <si>
    <t>Indianapolis Colts</t>
  </si>
  <si>
    <t>Denver Broncos</t>
  </si>
  <si>
    <t>Jacksonville Jaguars</t>
  </si>
  <si>
    <t>Los Angeles Chargers</t>
  </si>
  <si>
    <t>New York Giants</t>
  </si>
  <si>
    <t>Atlanta Falcons</t>
  </si>
  <si>
    <t>Green Bay Packers</t>
  </si>
  <si>
    <t>Baltimore Ravens</t>
  </si>
  <si>
    <t>Cincinnati Bengals</t>
  </si>
  <si>
    <t>Houston Texans</t>
  </si>
  <si>
    <t>Arizona Cardinals</t>
  </si>
  <si>
    <t>Kansas City Chiefs</t>
  </si>
  <si>
    <t>Tampa Bay Buccaneers</t>
  </si>
  <si>
    <t>Washington Commanders</t>
  </si>
  <si>
    <t>New Orleans Saints</t>
  </si>
  <si>
    <t>Philadelphia Eagles</t>
  </si>
  <si>
    <t>Pittsburgh Steelers</t>
  </si>
  <si>
    <t>Miami Dolphins</t>
  </si>
  <si>
    <t>Carolina Panthers</t>
  </si>
  <si>
    <t>Minnesota Vikings</t>
  </si>
  <si>
    <t>New York Jets</t>
  </si>
  <si>
    <t>Cleveland Browns</t>
  </si>
  <si>
    <t>Tennessee Titans</t>
  </si>
  <si>
    <t>Las Vegas Raiders</t>
  </si>
  <si>
    <t>example</t>
  </si>
  <si>
    <t>Titans Of pass</t>
  </si>
  <si>
    <t>Titans Of rush</t>
  </si>
  <si>
    <t>Raiders def pass</t>
  </si>
  <si>
    <t>Raiders def rush</t>
  </si>
  <si>
    <t>off pass</t>
  </si>
  <si>
    <t>off rush</t>
  </si>
  <si>
    <t>pf</t>
  </si>
  <si>
    <t>PA</t>
  </si>
  <si>
    <t>def pass</t>
  </si>
  <si>
    <t>def rush</t>
  </si>
  <si>
    <t>raiders vs titans rank</t>
  </si>
  <si>
    <t>pass differential</t>
  </si>
  <si>
    <t>rush diff</t>
  </si>
  <si>
    <t>Raiders pass differential</t>
  </si>
  <si>
    <t>Raiders rush differential</t>
  </si>
  <si>
    <t>raiders</t>
  </si>
  <si>
    <t>Raiders offset game vs titans</t>
  </si>
  <si>
    <t>titans</t>
  </si>
  <si>
    <t>Raiders of pass</t>
  </si>
  <si>
    <t>Raiders of rush</t>
  </si>
  <si>
    <t>prediction</t>
  </si>
  <si>
    <t>Titans def pass</t>
  </si>
  <si>
    <t>titans def rush</t>
  </si>
  <si>
    <t>spread</t>
  </si>
  <si>
    <t>Raiders -3.8</t>
  </si>
  <si>
    <t>titans pass differential</t>
  </si>
  <si>
    <t>titans rush differential</t>
  </si>
  <si>
    <t>Titans +3.8</t>
  </si>
  <si>
    <t>titans offset game vs raiders</t>
  </si>
  <si>
    <t>final score</t>
  </si>
  <si>
    <t>14 - 10</t>
  </si>
  <si>
    <t>Raiders win</t>
  </si>
  <si>
    <t>Takeaways</t>
  </si>
  <si>
    <t>Giveaways</t>
  </si>
  <si>
    <t>Team</t>
  </si>
  <si>
    <t>DIFF</t>
  </si>
  <si>
    <t>INT</t>
  </si>
  <si>
    <t>FUM</t>
  </si>
  <si>
    <t>TOTAL</t>
  </si>
  <si>
    <t>Touchdowns</t>
  </si>
  <si>
    <t>Kicking</t>
  </si>
  <si>
    <t>Misc</t>
  </si>
  <si>
    <t>Tot</t>
  </si>
  <si>
    <t>R</t>
  </si>
  <si>
    <t>P</t>
  </si>
  <si>
    <t>KR</t>
  </si>
  <si>
    <t>PR</t>
  </si>
  <si>
    <t>IR</t>
  </si>
  <si>
    <t>FR</t>
  </si>
  <si>
    <t>BK</t>
  </si>
  <si>
    <t>BP</t>
  </si>
  <si>
    <t>FGR</t>
  </si>
  <si>
    <t>PAT</t>
  </si>
  <si>
    <t>FG</t>
  </si>
  <si>
    <t>Conv</t>
  </si>
  <si>
    <t>Saf</t>
  </si>
  <si>
    <t>Pts</t>
  </si>
  <si>
    <t>25/26</t>
  </si>
  <si>
    <t>25/31</t>
  </si>
  <si>
    <t>27/30</t>
  </si>
  <si>
    <t>18/27</t>
  </si>
  <si>
    <t>24/27</t>
  </si>
  <si>
    <t>37/39</t>
  </si>
  <si>
    <t>33/35</t>
  </si>
  <si>
    <t>19/23</t>
  </si>
  <si>
    <t>28/31</t>
  </si>
  <si>
    <t>29/35</t>
  </si>
  <si>
    <t>31/32</t>
  </si>
  <si>
    <t>31/31</t>
  </si>
  <si>
    <t>36/45</t>
  </si>
  <si>
    <t>32/33</t>
  </si>
  <si>
    <t>20/24</t>
  </si>
  <si>
    <t>30/32</t>
  </si>
  <si>
    <t>32/36</t>
  </si>
  <si>
    <t>27/32</t>
  </si>
  <si>
    <t>31/33</t>
  </si>
  <si>
    <t>29/33</t>
  </si>
  <si>
    <t>34/37</t>
  </si>
  <si>
    <t>23/25</t>
  </si>
  <si>
    <t>37/38</t>
  </si>
  <si>
    <t>22/33</t>
  </si>
  <si>
    <t>38/41</t>
  </si>
  <si>
    <t>27/33</t>
  </si>
  <si>
    <t>41/42</t>
  </si>
  <si>
    <t>35/37</t>
  </si>
  <si>
    <t>36/39</t>
  </si>
  <si>
    <t>32/37</t>
  </si>
  <si>
    <t>36/37</t>
  </si>
  <si>
    <t>36/41</t>
  </si>
  <si>
    <t>34/42</t>
  </si>
  <si>
    <t>45/45</t>
  </si>
  <si>
    <t>24/30</t>
  </si>
  <si>
    <t>38/38</t>
  </si>
  <si>
    <t>38/44</t>
  </si>
  <si>
    <t>39/40</t>
  </si>
  <si>
    <t>28/30</t>
  </si>
  <si>
    <t>43/44</t>
  </si>
  <si>
    <t>24/31</t>
  </si>
  <si>
    <t>43/45</t>
  </si>
  <si>
    <t>25/30</t>
  </si>
  <si>
    <t>44/44</t>
  </si>
  <si>
    <t>30/33</t>
  </si>
  <si>
    <t>41/45</t>
  </si>
  <si>
    <t>32/38</t>
  </si>
  <si>
    <t>46/47</t>
  </si>
  <si>
    <t>29/36</t>
  </si>
  <si>
    <t>50/51</t>
  </si>
  <si>
    <t>47/52</t>
  </si>
  <si>
    <t>37/41</t>
  </si>
  <si>
    <t>55/56</t>
  </si>
  <si>
    <t>54/55</t>
  </si>
  <si>
    <t>35/40</t>
  </si>
  <si>
    <t>53/54</t>
  </si>
  <si>
    <t>32/34</t>
  </si>
  <si>
    <t>KEY: Tot = Total Touchdowns, R = Rushing Touchdowns, P = Touchdown Receptions, KR = Kickoff Return Touchdowns, PR = Punt Return Touchdowns, IR = Interception Return Touchdowns, FR = Fumble Return Touchdowns, BK = Blocked Field Goal Touchdowns, FGR = Missed Field Goal Return Touchdowns, PAT = Extra Points Made, FG = Field Goals Made, Conv = Rushing &amp; Receiving Conversions, Saf = Safeties, Pts = Points Scored</t>
  </si>
  <si>
    <t>Off Pass Yds</t>
  </si>
  <si>
    <t>Off Rush Yds</t>
  </si>
  <si>
    <t>Off PF</t>
  </si>
  <si>
    <t>Def Pass Yds</t>
  </si>
  <si>
    <t>Def Rush Yds</t>
  </si>
  <si>
    <t>Def PA</t>
  </si>
  <si>
    <t>TO Diff</t>
  </si>
  <si>
    <t>KR Avg</t>
  </si>
  <si>
    <t>PR Avg</t>
  </si>
  <si>
    <t>Net Pts</t>
  </si>
  <si>
    <t>Net Yds</t>
  </si>
  <si>
    <t>Team/offense</t>
  </si>
  <si>
    <t>madden player</t>
  </si>
  <si>
    <t>total avg  yards/game</t>
  </si>
  <si>
    <t>avg points/ game</t>
  </si>
  <si>
    <t>Team Turnovers</t>
  </si>
  <si>
    <t>Avg Rush</t>
  </si>
  <si>
    <t>Avg pass</t>
  </si>
  <si>
    <t>Bears</t>
  </si>
  <si>
    <t>vs</t>
  </si>
  <si>
    <t>Browns</t>
  </si>
  <si>
    <t>Team/defense</t>
  </si>
  <si>
    <t>Team Differential</t>
  </si>
  <si>
    <t>Bears Win</t>
  </si>
  <si>
    <t>Spread</t>
  </si>
  <si>
    <t>Grand Total</t>
  </si>
  <si>
    <t>Team Average</t>
  </si>
  <si>
    <t>Player</t>
  </si>
  <si>
    <t>Rating</t>
  </si>
  <si>
    <t>Position</t>
  </si>
  <si>
    <t>Chiefs</t>
  </si>
  <si>
    <t>Patrick Mahomes</t>
  </si>
  <si>
    <t>QB</t>
  </si>
  <si>
    <t>Travis Kelce</t>
  </si>
  <si>
    <t>TE</t>
  </si>
  <si>
    <t>Chris Jones</t>
  </si>
  <si>
    <t>DT</t>
  </si>
  <si>
    <t>Creed Humphrey</t>
  </si>
  <si>
    <t>C</t>
  </si>
  <si>
    <t>Trent McDuffie</t>
  </si>
  <si>
    <t>CB</t>
  </si>
  <si>
    <t>49ers</t>
  </si>
  <si>
    <t>Christian McCaffrey</t>
  </si>
  <si>
    <t>RB</t>
  </si>
  <si>
    <t>Trent Williams</t>
  </si>
  <si>
    <t>LT</t>
  </si>
  <si>
    <t>Fred Warner</t>
  </si>
  <si>
    <t>MLB</t>
  </si>
  <si>
    <t>George Kittle</t>
  </si>
  <si>
    <t>Nick Bosa</t>
  </si>
  <si>
    <t>DE</t>
  </si>
  <si>
    <t>Ravens</t>
  </si>
  <si>
    <t>Lamar Jackson</t>
  </si>
  <si>
    <t>Roquan Smith</t>
  </si>
  <si>
    <t>Mark Andrews</t>
  </si>
  <si>
    <t>Kyle Hamilton</t>
  </si>
  <si>
    <t>S</t>
  </si>
  <si>
    <t>Justin Madubuike</t>
  </si>
  <si>
    <t>Bills</t>
  </si>
  <si>
    <t>Josh Allen</t>
  </si>
  <si>
    <t>Von Miller</t>
  </si>
  <si>
    <t>OLB</t>
  </si>
  <si>
    <t>Matt Milano</t>
  </si>
  <si>
    <t>Ed Oliver</t>
  </si>
  <si>
    <t>Rasul Douglas</t>
  </si>
  <si>
    <t>Bengals</t>
  </si>
  <si>
    <t>Joe Burrow</t>
  </si>
  <si>
    <t>Ja'Marr Chase</t>
  </si>
  <si>
    <t>WR</t>
  </si>
  <si>
    <t>Trey Hendrickson</t>
  </si>
  <si>
    <t>Tee Higgins</t>
  </si>
  <si>
    <t>Orlando Brown Jr.</t>
  </si>
  <si>
    <t>Myles Garrett</t>
  </si>
  <si>
    <t>Nick Chubb</t>
  </si>
  <si>
    <t>Amari Cooper</t>
  </si>
  <si>
    <t>Denzel Ward</t>
  </si>
  <si>
    <t>Joel Bitonio</t>
  </si>
  <si>
    <t>LG</t>
  </si>
  <si>
    <t>Steelers</t>
  </si>
  <si>
    <t>T.J. Watt</t>
  </si>
  <si>
    <t>Minkah Fitzpatrick</t>
  </si>
  <si>
    <t>FS</t>
  </si>
  <si>
    <t>Cameron Heyward</t>
  </si>
  <si>
    <t>George Pickens</t>
  </si>
  <si>
    <t>Alex Highsmith</t>
  </si>
  <si>
    <t>Dolphins</t>
  </si>
  <si>
    <t>Tyreek Hill</t>
  </si>
  <si>
    <t>Jalen Ramsey</t>
  </si>
  <si>
    <t>Tua Tagovailoa</t>
  </si>
  <si>
    <t>Jaylen Waddle</t>
  </si>
  <si>
    <t>Terron Armstead</t>
  </si>
  <si>
    <t>Eagles</t>
  </si>
  <si>
    <t>A.J. Brown</t>
  </si>
  <si>
    <t>Lane Johnson</t>
  </si>
  <si>
    <t>RT</t>
  </si>
  <si>
    <t>Jalen Hurts</t>
  </si>
  <si>
    <t>Saquon Barkley</t>
  </si>
  <si>
    <t>DeVonta Smith</t>
  </si>
  <si>
    <t>Cowboys</t>
  </si>
  <si>
    <t>Micah Parsons</t>
  </si>
  <si>
    <t>Zack Martin</t>
  </si>
  <si>
    <t>RG</t>
  </si>
  <si>
    <t>CeeDee Lamb</t>
  </si>
  <si>
    <t>Dak Prescott</t>
  </si>
  <si>
    <t>Trevon Diggs</t>
  </si>
  <si>
    <t>Lions</t>
  </si>
  <si>
    <t>Penei Sewell</t>
  </si>
  <si>
    <t>Amon-Ra St. Brown</t>
  </si>
  <si>
    <t>Aidan Hutchinson</t>
  </si>
  <si>
    <t>Jared Goff</t>
  </si>
  <si>
    <t>Sam LaPorta</t>
  </si>
  <si>
    <t>Packers</t>
  </si>
  <si>
    <t>Jaire Alexander</t>
  </si>
  <si>
    <t>Rashan Gary</t>
  </si>
  <si>
    <t>Jordan Love</t>
  </si>
  <si>
    <t>Josh Jacobs</t>
  </si>
  <si>
    <t>Kenny Clark</t>
  </si>
  <si>
    <t>Texans</t>
  </si>
  <si>
    <t>C.J. Stroud</t>
  </si>
  <si>
    <t>Laremy Tunsil</t>
  </si>
  <si>
    <t>Danielle Hunter</t>
  </si>
  <si>
    <t>Will Anderson Jr.</t>
  </si>
  <si>
    <t>Stefon Diggs</t>
  </si>
  <si>
    <t>Rams</t>
  </si>
  <si>
    <t>Matthew Stafford</t>
  </si>
  <si>
    <t>Cooper Kupp</t>
  </si>
  <si>
    <t>Puka Nacua</t>
  </si>
  <si>
    <t>Kyren Williams</t>
  </si>
  <si>
    <t>Kobie Turner</t>
  </si>
  <si>
    <t>Jaylon Johnson</t>
  </si>
  <si>
    <t>Montez Sweat</t>
  </si>
  <si>
    <t>D.J. Moore</t>
  </si>
  <si>
    <t>Keenan Allen</t>
  </si>
  <si>
    <t>Tremaine Edmunds</t>
  </si>
  <si>
    <t>Vikings</t>
  </si>
  <si>
    <t>Justin Jefferson</t>
  </si>
  <si>
    <t>Christian Darrisaw</t>
  </si>
  <si>
    <t>Harrison Smith</t>
  </si>
  <si>
    <t>SS</t>
  </si>
  <si>
    <t>T.J. Hockenson</t>
  </si>
  <si>
    <t>Aaron Jones</t>
  </si>
  <si>
    <t>Falcons</t>
  </si>
  <si>
    <t>Jessie Bates III</t>
  </si>
  <si>
    <t>Chris Lindstrom</t>
  </si>
  <si>
    <t>Justin Simmons</t>
  </si>
  <si>
    <t>Kirk Cousins</t>
  </si>
  <si>
    <t>Bijan Robinson</t>
  </si>
  <si>
    <t>Saints</t>
  </si>
  <si>
    <t>Demario Davis</t>
  </si>
  <si>
    <t>Tyrann Mathieu</t>
  </si>
  <si>
    <t>Alvin Kamara</t>
  </si>
  <si>
    <t>Marshon Lattimore</t>
  </si>
  <si>
    <t>Cameron Jordan</t>
  </si>
  <si>
    <t>Buccaneers</t>
  </si>
  <si>
    <t>Antoine Winfield Jr.</t>
  </si>
  <si>
    <t>Mike Evans</t>
  </si>
  <si>
    <t>Tristan Wirfs</t>
  </si>
  <si>
    <t>Lavonte David</t>
  </si>
  <si>
    <t>Vita Vea</t>
  </si>
  <si>
    <t>Panthers</t>
  </si>
  <si>
    <t>Derrick Brown</t>
  </si>
  <si>
    <t>Jaycee Horn</t>
  </si>
  <si>
    <t>Robert Hunt</t>
  </si>
  <si>
    <t>Diontae Johnson</t>
  </si>
  <si>
    <t>Shaq Thompson</t>
  </si>
  <si>
    <t>Giants</t>
  </si>
  <si>
    <t>Dexter Lawrence</t>
  </si>
  <si>
    <t>Andrew Thomas</t>
  </si>
  <si>
    <t>Brian Burns</t>
  </si>
  <si>
    <t>Bobby Okereke</t>
  </si>
  <si>
    <t>Kayvon Thibodeaux</t>
  </si>
  <si>
    <t>Commanders</t>
  </si>
  <si>
    <t>Terry McLaurin</t>
  </si>
  <si>
    <t>Jonathan Allen</t>
  </si>
  <si>
    <t>Daron Payne</t>
  </si>
  <si>
    <t>Frankie Luvu</t>
  </si>
  <si>
    <t>Austin Ekeler</t>
  </si>
  <si>
    <t>Jets</t>
  </si>
  <si>
    <t>Sauce Gardner</t>
  </si>
  <si>
    <t>Quinnen Williams</t>
  </si>
  <si>
    <t>Aaron Rodgers</t>
  </si>
  <si>
    <t>Breece Hall</t>
  </si>
  <si>
    <t>Garrett Wilson</t>
  </si>
  <si>
    <t>Patriots</t>
  </si>
  <si>
    <t>Christian Barmore</t>
  </si>
  <si>
    <t>Kyle Dugger</t>
  </si>
  <si>
    <t>Mike Onwenu</t>
  </si>
  <si>
    <t>Jabrill Peppers</t>
  </si>
  <si>
    <t>Matthew Judon</t>
  </si>
  <si>
    <t>Colts</t>
  </si>
  <si>
    <t>Quenton Nelson</t>
  </si>
  <si>
    <t>DeForest Buckner</t>
  </si>
  <si>
    <t>Jonathan Taylor</t>
  </si>
  <si>
    <t>Michael Pittman Jr.</t>
  </si>
  <si>
    <t>Kenny Moore II</t>
  </si>
  <si>
    <t>Titans</t>
  </si>
  <si>
    <t>Jeffery Simmons</t>
  </si>
  <si>
    <t>L'Jarius Sneed</t>
  </si>
  <si>
    <t>Calvin Ridley</t>
  </si>
  <si>
    <t>Harold Landry III</t>
  </si>
  <si>
    <t>DeAndre Hopkins</t>
  </si>
  <si>
    <t>Jaguars</t>
  </si>
  <si>
    <t>Josh Hines-Allen</t>
  </si>
  <si>
    <t>Travis Etienne Jr.</t>
  </si>
  <si>
    <t>Evan Engram</t>
  </si>
  <si>
    <t>Trevor Lawrence</t>
  </si>
  <si>
    <t>Tyson Campbell</t>
  </si>
  <si>
    <t>Chargers</t>
  </si>
  <si>
    <t>Derwin James Jr.</t>
  </si>
  <si>
    <t>Justin Herbert</t>
  </si>
  <si>
    <t>Rashawn Slater</t>
  </si>
  <si>
    <t>Joey Bosa</t>
  </si>
  <si>
    <t>Khalil Mack</t>
  </si>
  <si>
    <t>Raiders</t>
  </si>
  <si>
    <t>Maxx Crosby</t>
  </si>
  <si>
    <t>Davante Adams</t>
  </si>
  <si>
    <t>Christian Wilkins</t>
  </si>
  <si>
    <t>Kolton Miller</t>
  </si>
  <si>
    <t>Jack Jones</t>
  </si>
  <si>
    <t>Broncos</t>
  </si>
  <si>
    <t>Patrick Surtain II</t>
  </si>
  <si>
    <t>Quinn Meinerz</t>
  </si>
  <si>
    <t>Courtland Sutton</t>
  </si>
  <si>
    <t>Garett Bolles</t>
  </si>
  <si>
    <t>Javonte Williams</t>
  </si>
  <si>
    <t>Seahawks</t>
  </si>
  <si>
    <t>DK Metcalf</t>
  </si>
  <si>
    <t>Kenneth Walker III</t>
  </si>
  <si>
    <t>Leonard Williams</t>
  </si>
  <si>
    <t>Tyler Lockett</t>
  </si>
  <si>
    <t>Devon Witherspoon</t>
  </si>
  <si>
    <t>Cardinals</t>
  </si>
  <si>
    <t>Budda Baker</t>
  </si>
  <si>
    <t>Kyler Murray</t>
  </si>
  <si>
    <t>Trey McBride</t>
  </si>
  <si>
    <t>James Conner</t>
  </si>
  <si>
    <t>Jalen Thompson</t>
  </si>
  <si>
    <t>games played</t>
  </si>
  <si>
    <t>turn over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</si>
</sst>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charset val="1"/>
    </font>
    <font>
      <sz val="10"/>
      <color theme="1"/>
      <name val="Arial"/>
      <charset val="1"/>
    </font>
    <font>
      <sz val="11"/>
      <color theme="1"/>
      <name val="Times New Roman"/>
      <charset val="1"/>
    </font>
    <font>
      <sz val="11"/>
      <color rgb="FFFF9900"/>
      <name val="Times New Roman"/>
      <charset val="1"/>
    </font>
    <font>
      <b/>
      <sz val="12"/>
      <color rgb="FF48494A"/>
      <name val="-Apple-System"/>
      <charset val="1"/>
    </font>
    <font>
      <sz val="9"/>
      <color rgb="FF6C6D6F"/>
      <name val="-Apple-System"/>
      <charset val="1"/>
    </font>
    <font>
      <sz val="9"/>
      <color rgb="FF009944"/>
      <name val="-Apple-System"/>
      <charset val="1"/>
    </font>
    <font>
      <sz val="9"/>
      <color rgb="FFDD0000"/>
      <name val="-Apple-System"/>
      <charset val="1"/>
    </font>
    <font>
      <b/>
      <sz val="10"/>
      <color rgb="FF212529"/>
      <name val="System-Ui"/>
      <charset val="1"/>
    </font>
    <font>
      <sz val="10"/>
      <color rgb="FF212529"/>
      <name val="System-Ui"/>
      <charset val="1"/>
    </font>
    <font>
      <b/>
      <sz val="10"/>
      <color theme="1"/>
      <name val="System-Ui"/>
      <charset val="1"/>
    </font>
    <font>
      <b/>
      <sz val="11"/>
      <color rgb="FF212529"/>
      <name val="System-Ui"/>
      <charset val="1"/>
    </font>
    <font>
      <b/>
      <sz val="10"/>
      <color rgb="FFFFFFFF"/>
      <name val="Montserrat"/>
      <charset val="1"/>
    </font>
    <font>
      <i/>
      <sz val="10"/>
      <color theme="1"/>
      <name val="Arial"/>
      <charset val="1"/>
    </font>
    <font>
      <sz val="10"/>
      <color rgb="FFFFFFFF"/>
      <name val="Arial"/>
      <charset val="1"/>
    </font>
    <font>
      <b/>
      <sz val="10"/>
      <color theme="1"/>
      <name val="Arial"/>
      <charset val="1"/>
    </font>
    <font>
      <sz val="10"/>
      <color rgb="FFFFFFFF"/>
      <name val="Roboto"/>
      <charset val="1"/>
    </font>
    <font>
      <sz val="10"/>
      <color rgb="FF434343"/>
      <name val="Roboto"/>
      <charset val="1"/>
    </font>
    <font>
      <b/>
      <sz val="11"/>
      <color rgb="FF48494A"/>
      <name val="Arial"/>
      <charset val="1"/>
    </font>
    <font>
      <sz val="9"/>
      <color rgb="FF6C6D6F"/>
      <name val="Arial"/>
      <charset val="1"/>
    </font>
    <font>
      <sz val="10"/>
      <color rgb="FF212529"/>
      <name val="Arial"/>
      <charset val="1"/>
    </font>
    <font>
      <sz val="11"/>
      <color rgb="FF242424"/>
      <name val="Aptos Narrow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A52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6F8F9"/>
        <bgColor indexed="64"/>
      </patternFill>
    </fill>
  </fills>
  <borders count="7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double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double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double">
        <color rgb="FF000000"/>
      </right>
      <top style="thin">
        <color rgb="FFCCCCCC"/>
      </top>
      <bottom style="double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DCDDDF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DCDDDF"/>
      </bottom>
      <diagonal/>
    </border>
    <border>
      <left style="thin">
        <color rgb="FF000000"/>
      </left>
      <right style="thin">
        <color rgb="FFDCDDDF"/>
      </right>
      <top style="thin">
        <color rgb="FFCCCCCC"/>
      </top>
      <bottom style="thin">
        <color rgb="FFDCDDD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DCDDDF"/>
      </bottom>
      <diagonal/>
    </border>
    <border>
      <left style="thin">
        <color rgb="FFCCCCCC"/>
      </left>
      <right/>
      <top style="thin">
        <color rgb="FFCCCCCC"/>
      </top>
      <bottom style="thin">
        <color rgb="FFDCDDDF"/>
      </bottom>
      <diagonal/>
    </border>
    <border>
      <left/>
      <right/>
      <top style="thin">
        <color rgb="FFCCCCCC"/>
      </top>
      <bottom style="thin">
        <color rgb="FFDCDDDF"/>
      </bottom>
      <diagonal/>
    </border>
    <border>
      <left/>
      <right style="thin">
        <color rgb="FFCCCCCC"/>
      </right>
      <top style="thin">
        <color rgb="FFCCCCCC"/>
      </top>
      <bottom style="thin">
        <color rgb="FFDCDDDF"/>
      </bottom>
      <diagonal/>
    </border>
    <border>
      <left style="thin">
        <color rgb="FF000000"/>
      </left>
      <right style="thin">
        <color rgb="FFDCDDDF"/>
      </right>
      <top style="thin">
        <color rgb="FFCCCCCC"/>
      </top>
      <bottom style="thin">
        <color rgb="FFF1F2F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F1F2F3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666666"/>
      </bottom>
      <diagonal/>
    </border>
    <border>
      <left style="thin">
        <color rgb="FF000000"/>
      </left>
      <right/>
      <top style="thin">
        <color rgb="FFCCCCCC"/>
      </top>
      <bottom style="thin">
        <color rgb="FF666666"/>
      </bottom>
      <diagonal/>
    </border>
    <border>
      <left/>
      <right/>
      <top style="thin">
        <color rgb="FFCCCCCC"/>
      </top>
      <bottom style="thin">
        <color rgb="FF666666"/>
      </bottom>
      <diagonal/>
    </border>
    <border>
      <left/>
      <right style="thin">
        <color rgb="FFCCCCCC"/>
      </right>
      <top style="thin">
        <color rgb="FFCCCCCC"/>
      </top>
      <bottom style="thin">
        <color rgb="FF666666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666666"/>
      </bottom>
      <diagonal/>
    </border>
    <border>
      <left style="thin">
        <color rgb="FFCCCCCC"/>
      </left>
      <right/>
      <top style="thin">
        <color rgb="FFCCCCCC"/>
      </top>
      <bottom style="thin">
        <color rgb="FF666666"/>
      </bottom>
      <diagonal/>
    </border>
    <border>
      <left style="thin">
        <color rgb="FF000000"/>
      </left>
      <right style="thin">
        <color rgb="FFDDDDDD"/>
      </right>
      <top style="thin">
        <color rgb="FFCCCCCC"/>
      </top>
      <bottom style="thin">
        <color rgb="FFDDDDDD"/>
      </bottom>
      <diagonal/>
    </border>
    <border>
      <left style="thin">
        <color rgb="FFCCCCCC"/>
      </left>
      <right style="thin">
        <color rgb="FFDDDDDD"/>
      </right>
      <top style="thin">
        <color rgb="FFCCCCCC"/>
      </top>
      <bottom style="thin">
        <color rgb="FFDDDDDD"/>
      </bottom>
      <diagonal/>
    </border>
    <border>
      <left style="thin">
        <color rgb="FF000000"/>
      </left>
      <right style="thin">
        <color rgb="FFDDDDDD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DDDDDD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ck">
        <color rgb="FF666666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666666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double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284E3F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284E3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284E3F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6F8F9"/>
      </bottom>
      <diagonal/>
    </border>
    <border>
      <left style="thin">
        <color rgb="FF000000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284E3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284E3F"/>
      </bottom>
      <diagonal/>
    </border>
    <border>
      <left/>
      <right style="thin">
        <color rgb="FFFFFFFF"/>
      </right>
      <top style="thin">
        <color rgb="FFCCCCCC"/>
      </top>
      <bottom style="thin">
        <color rgb="FFF6F8F9"/>
      </bottom>
      <diagonal/>
    </border>
    <border>
      <left/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/>
      <top style="thin">
        <color rgb="FFCCCCCC"/>
      </top>
      <bottom style="thin">
        <color rgb="FFF6F8F9"/>
      </bottom>
      <diagonal/>
    </border>
    <border>
      <left/>
      <right style="thin">
        <color rgb="FF356854"/>
      </right>
      <top/>
      <bottom style="thin">
        <color rgb="FF284E3F"/>
      </bottom>
      <diagonal/>
    </border>
    <border>
      <left style="thin">
        <color rgb="FFCCCCCC"/>
      </left>
      <right style="thin">
        <color rgb="FF356854"/>
      </right>
      <top/>
      <bottom style="thin">
        <color rgb="FF284E3F"/>
      </bottom>
      <diagonal/>
    </border>
    <border>
      <left style="thin">
        <color rgb="FFCCCCCC"/>
      </left>
      <right/>
      <top/>
      <bottom style="thin">
        <color rgb="FF284E3F"/>
      </bottom>
      <diagonal/>
    </border>
    <border>
      <left/>
      <right style="thin">
        <color rgb="FFF6F8F9"/>
      </right>
      <top style="thin">
        <color rgb="FFCCCCCC"/>
      </top>
      <bottom/>
      <diagonal/>
    </border>
    <border>
      <left style="thin">
        <color rgb="FFCCCCCC"/>
      </left>
      <right style="thin">
        <color rgb="FFF6F8F9"/>
      </right>
      <top style="thin">
        <color rgb="FFCCCCCC"/>
      </top>
      <bottom/>
      <diagonal/>
    </border>
    <border>
      <left style="thin">
        <color rgb="FF000000"/>
      </left>
      <right style="thin">
        <color rgb="FFDCDDDF"/>
      </right>
      <top style="thin">
        <color rgb="FF000000"/>
      </top>
      <bottom style="thin">
        <color rgb="FFDCDDDF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DCDDDF"/>
      </bottom>
      <diagonal/>
    </border>
    <border>
      <left style="thin">
        <color rgb="FFCCCCCC"/>
      </left>
      <right/>
      <top style="thin">
        <color rgb="FF000000"/>
      </top>
      <bottom style="thin">
        <color rgb="FFDCDDDF"/>
      </bottom>
      <diagonal/>
    </border>
    <border>
      <left/>
      <right/>
      <top style="thin">
        <color rgb="FF000000"/>
      </top>
      <bottom style="thin">
        <color rgb="FFDCDDDF"/>
      </bottom>
      <diagonal/>
    </border>
    <border>
      <left/>
      <right style="thin">
        <color rgb="FFCCCCCC"/>
      </right>
      <top style="thin">
        <color rgb="FF000000"/>
      </top>
      <bottom style="thin">
        <color rgb="FFDCDDDF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9">
    <xf numFmtId="0" fontId="0" fillId="0" borderId="0" xfId="0"/>
    <xf numFmtId="0" fontId="2" fillId="2" borderId="1" xfId="0" applyFont="1" applyFill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3" fillId="2" borderId="5" xfId="0" applyFont="1" applyFill="1" applyBorder="1" applyAlignment="1">
      <alignment readingOrder="1"/>
    </xf>
    <xf numFmtId="0" fontId="4" fillId="2" borderId="9" xfId="0" applyFont="1" applyFill="1" applyBorder="1" applyAlignment="1">
      <alignment readingOrder="1"/>
    </xf>
    <xf numFmtId="0" fontId="2" fillId="2" borderId="10" xfId="0" applyFont="1" applyFill="1" applyBorder="1" applyAlignment="1">
      <alignment readingOrder="1"/>
    </xf>
    <xf numFmtId="0" fontId="1" fillId="2" borderId="11" xfId="1" applyFill="1" applyBorder="1" applyAlignment="1">
      <alignment readingOrder="1"/>
    </xf>
    <xf numFmtId="0" fontId="1" fillId="2" borderId="12" xfId="1" applyFill="1" applyBorder="1" applyAlignment="1">
      <alignment readingOrder="1"/>
    </xf>
    <xf numFmtId="0" fontId="1" fillId="2" borderId="13" xfId="1" applyFill="1" applyBorder="1" applyAlignment="1">
      <alignment readingOrder="1"/>
    </xf>
    <xf numFmtId="0" fontId="4" fillId="2" borderId="13" xfId="0" applyFont="1" applyFill="1" applyBorder="1" applyAlignment="1">
      <alignment readingOrder="1"/>
    </xf>
    <xf numFmtId="0" fontId="4" fillId="2" borderId="11" xfId="0" applyFont="1" applyFill="1" applyBorder="1" applyAlignment="1">
      <alignment readingOrder="1"/>
    </xf>
    <xf numFmtId="0" fontId="4" fillId="2" borderId="12" xfId="0" applyFont="1" applyFill="1" applyBorder="1" applyAlignment="1">
      <alignment readingOrder="1"/>
    </xf>
    <xf numFmtId="0" fontId="1" fillId="2" borderId="10" xfId="1" applyFill="1" applyBorder="1" applyAlignment="1">
      <alignment readingOrder="1"/>
    </xf>
    <xf numFmtId="0" fontId="4" fillId="2" borderId="14" xfId="0" applyFont="1" applyFill="1" applyBorder="1" applyAlignment="1">
      <alignment readingOrder="1"/>
    </xf>
    <xf numFmtId="0" fontId="4" fillId="2" borderId="15" xfId="0" applyFont="1" applyFill="1" applyBorder="1" applyAlignment="1">
      <alignment readingOrder="1"/>
    </xf>
    <xf numFmtId="3" fontId="4" fillId="2" borderId="15" xfId="0" applyNumberFormat="1" applyFont="1" applyFill="1" applyBorder="1" applyAlignment="1">
      <alignment readingOrder="1"/>
    </xf>
    <xf numFmtId="0" fontId="4" fillId="2" borderId="16" xfId="0" applyFont="1" applyFill="1" applyBorder="1" applyAlignment="1">
      <alignment readingOrder="1"/>
    </xf>
    <xf numFmtId="4" fontId="4" fillId="2" borderId="11" xfId="0" applyNumberFormat="1" applyFont="1" applyFill="1" applyBorder="1" applyAlignment="1">
      <alignment readingOrder="1"/>
    </xf>
    <xf numFmtId="4" fontId="4" fillId="2" borderId="12" xfId="0" applyNumberFormat="1" applyFont="1" applyFill="1" applyBorder="1" applyAlignment="1">
      <alignment readingOrder="1"/>
    </xf>
    <xf numFmtId="3" fontId="4" fillId="2" borderId="12" xfId="0" applyNumberFormat="1" applyFont="1" applyFill="1" applyBorder="1" applyAlignment="1">
      <alignment readingOrder="1"/>
    </xf>
    <xf numFmtId="0" fontId="4" fillId="2" borderId="17" xfId="0" applyFont="1" applyFill="1" applyBorder="1" applyAlignment="1">
      <alignment readingOrder="1"/>
    </xf>
    <xf numFmtId="0" fontId="3" fillId="2" borderId="18" xfId="0" applyFont="1" applyFill="1" applyBorder="1" applyAlignment="1">
      <alignment readingOrder="1"/>
    </xf>
    <xf numFmtId="0" fontId="3" fillId="2" borderId="19" xfId="0" applyFont="1" applyFill="1" applyBorder="1" applyAlignment="1">
      <alignment readingOrder="1"/>
    </xf>
    <xf numFmtId="0" fontId="3" fillId="2" borderId="20" xfId="0" applyFont="1" applyFill="1" applyBorder="1" applyAlignment="1">
      <alignment readingOrder="1"/>
    </xf>
    <xf numFmtId="0" fontId="3" fillId="2" borderId="21" xfId="0" applyFont="1" applyFill="1" applyBorder="1" applyAlignment="1">
      <alignment readingOrder="1"/>
    </xf>
    <xf numFmtId="0" fontId="3" fillId="2" borderId="12" xfId="0" applyFont="1" applyFill="1" applyBorder="1" applyAlignment="1">
      <alignment readingOrder="1"/>
    </xf>
    <xf numFmtId="0" fontId="3" fillId="2" borderId="22" xfId="0" applyFont="1" applyFill="1" applyBorder="1" applyAlignment="1">
      <alignment readingOrder="1"/>
    </xf>
    <xf numFmtId="0" fontId="5" fillId="2" borderId="19" xfId="0" applyFont="1" applyFill="1" applyBorder="1" applyAlignment="1">
      <alignment readingOrder="1"/>
    </xf>
    <xf numFmtId="0" fontId="5" fillId="2" borderId="20" xfId="0" applyFont="1" applyFill="1" applyBorder="1" applyAlignment="1">
      <alignment readingOrder="1"/>
    </xf>
    <xf numFmtId="0" fontId="3" fillId="2" borderId="23" xfId="0" applyFont="1" applyFill="1" applyBorder="1" applyAlignment="1">
      <alignment readingOrder="1"/>
    </xf>
    <xf numFmtId="0" fontId="3" fillId="2" borderId="24" xfId="0" applyFont="1" applyFill="1" applyBorder="1" applyAlignment="1">
      <alignment readingOrder="1"/>
    </xf>
    <xf numFmtId="0" fontId="5" fillId="2" borderId="21" xfId="0" applyFont="1" applyFill="1" applyBorder="1" applyAlignment="1">
      <alignment readingOrder="1"/>
    </xf>
    <xf numFmtId="0" fontId="3" fillId="2" borderId="25" xfId="0" applyFont="1" applyFill="1" applyBorder="1" applyAlignment="1">
      <alignment readingOrder="1"/>
    </xf>
    <xf numFmtId="0" fontId="3" fillId="2" borderId="26" xfId="0" applyFont="1" applyFill="1" applyBorder="1" applyAlignment="1">
      <alignment readingOrder="1"/>
    </xf>
    <xf numFmtId="0" fontId="6" fillId="2" borderId="25" xfId="0" applyFont="1" applyFill="1" applyBorder="1" applyAlignment="1">
      <alignment readingOrder="1"/>
    </xf>
    <xf numFmtId="0" fontId="1" fillId="2" borderId="26" xfId="1" applyFill="1" applyBorder="1" applyAlignment="1">
      <alignment readingOrder="1"/>
    </xf>
    <xf numFmtId="0" fontId="1" fillId="2" borderId="30" xfId="1" applyFill="1" applyBorder="1" applyAlignment="1">
      <alignment readingOrder="1"/>
    </xf>
    <xf numFmtId="0" fontId="7" fillId="2" borderId="31" xfId="0" applyFont="1" applyFill="1" applyBorder="1" applyAlignment="1">
      <alignment readingOrder="1"/>
    </xf>
    <xf numFmtId="0" fontId="8" fillId="2" borderId="31" xfId="0" applyFont="1" applyFill="1" applyBorder="1" applyAlignment="1">
      <alignment readingOrder="1"/>
    </xf>
    <xf numFmtId="0" fontId="9" fillId="2" borderId="31" xfId="0" applyFont="1" applyFill="1" applyBorder="1" applyAlignment="1">
      <alignment readingOrder="1"/>
    </xf>
    <xf numFmtId="0" fontId="1" fillId="0" borderId="32" xfId="1" applyBorder="1" applyAlignment="1">
      <alignment readingOrder="1"/>
    </xf>
    <xf numFmtId="0" fontId="1" fillId="0" borderId="37" xfId="1" applyBorder="1" applyAlignment="1">
      <alignment readingOrder="1"/>
    </xf>
    <xf numFmtId="0" fontId="1" fillId="0" borderId="39" xfId="1" applyBorder="1" applyAlignment="1">
      <alignment readingOrder="1"/>
    </xf>
    <xf numFmtId="0" fontId="11" fillId="4" borderId="40" xfId="0" applyFont="1" applyFill="1" applyBorder="1" applyAlignment="1">
      <alignment readingOrder="1"/>
    </xf>
    <xf numFmtId="0" fontId="12" fillId="5" borderId="40" xfId="0" applyFont="1" applyFill="1" applyBorder="1" applyAlignment="1">
      <alignment readingOrder="1"/>
    </xf>
    <xf numFmtId="0" fontId="11" fillId="2" borderId="40" xfId="0" applyFont="1" applyFill="1" applyBorder="1" applyAlignment="1">
      <alignment readingOrder="1"/>
    </xf>
    <xf numFmtId="0" fontId="12" fillId="4" borderId="40" xfId="0" applyFont="1" applyFill="1" applyBorder="1" applyAlignment="1">
      <alignment readingOrder="1"/>
    </xf>
    <xf numFmtId="0" fontId="1" fillId="0" borderId="41" xfId="1" applyBorder="1" applyAlignment="1">
      <alignment readingOrder="1"/>
    </xf>
    <xf numFmtId="0" fontId="11" fillId="2" borderId="42" xfId="0" applyFont="1" applyFill="1" applyBorder="1" applyAlignment="1">
      <alignment readingOrder="1"/>
    </xf>
    <xf numFmtId="0" fontId="12" fillId="4" borderId="42" xfId="0" applyFont="1" applyFill="1" applyBorder="1" applyAlignment="1">
      <alignment readingOrder="1"/>
    </xf>
    <xf numFmtId="0" fontId="13" fillId="2" borderId="18" xfId="0" applyFont="1" applyFill="1" applyBorder="1" applyAlignment="1">
      <alignment readingOrder="1"/>
    </xf>
    <xf numFmtId="0" fontId="3" fillId="2" borderId="43" xfId="0" applyFont="1" applyFill="1" applyBorder="1" applyAlignment="1">
      <alignment readingOrder="1"/>
    </xf>
    <xf numFmtId="0" fontId="3" fillId="2" borderId="44" xfId="0" applyFont="1" applyFill="1" applyBorder="1" applyAlignment="1">
      <alignment readingOrder="1"/>
    </xf>
    <xf numFmtId="0" fontId="3" fillId="2" borderId="15" xfId="0" applyFont="1" applyFill="1" applyBorder="1" applyAlignment="1">
      <alignment readingOrder="1"/>
    </xf>
    <xf numFmtId="0" fontId="14" fillId="6" borderId="45" xfId="0" applyFont="1" applyFill="1" applyBorder="1" applyAlignment="1">
      <alignment readingOrder="1"/>
    </xf>
    <xf numFmtId="0" fontId="14" fillId="6" borderId="46" xfId="0" applyFont="1" applyFill="1" applyBorder="1" applyAlignment="1">
      <alignment readingOrder="1"/>
    </xf>
    <xf numFmtId="0" fontId="3" fillId="0" borderId="46" xfId="0" applyFont="1" applyBorder="1" applyAlignment="1">
      <alignment readingOrder="1"/>
    </xf>
    <xf numFmtId="0" fontId="3" fillId="0" borderId="47" xfId="0" applyFont="1" applyBorder="1" applyAlignment="1">
      <alignment readingOrder="1"/>
    </xf>
    <xf numFmtId="0" fontId="3" fillId="7" borderId="18" xfId="0" applyFont="1" applyFill="1" applyBorder="1" applyAlignment="1">
      <alignment readingOrder="1"/>
    </xf>
    <xf numFmtId="0" fontId="3" fillId="7" borderId="19" xfId="0" applyFont="1" applyFill="1" applyBorder="1" applyAlignment="1">
      <alignment readingOrder="1"/>
    </xf>
    <xf numFmtId="0" fontId="3" fillId="0" borderId="19" xfId="0" applyFont="1" applyBorder="1" applyAlignment="1">
      <alignment readingOrder="1"/>
    </xf>
    <xf numFmtId="0" fontId="3" fillId="0" borderId="20" xfId="0" applyFont="1" applyBorder="1" applyAlignment="1">
      <alignment readingOrder="1"/>
    </xf>
    <xf numFmtId="0" fontId="3" fillId="0" borderId="18" xfId="0" applyFont="1" applyBorder="1" applyAlignment="1">
      <alignment readingOrder="1"/>
    </xf>
    <xf numFmtId="0" fontId="3" fillId="0" borderId="43" xfId="0" applyFont="1" applyBorder="1" applyAlignment="1">
      <alignment readingOrder="1"/>
    </xf>
    <xf numFmtId="0" fontId="3" fillId="0" borderId="44" xfId="0" applyFont="1" applyBorder="1" applyAlignment="1">
      <alignment readingOrder="1"/>
    </xf>
    <xf numFmtId="0" fontId="3" fillId="0" borderId="15" xfId="0" applyFont="1" applyBorder="1" applyAlignment="1">
      <alignment readingOrder="1"/>
    </xf>
    <xf numFmtId="0" fontId="15" fillId="8" borderId="48" xfId="0" applyFont="1" applyFill="1" applyBorder="1" applyAlignment="1">
      <alignment readingOrder="1"/>
    </xf>
    <xf numFmtId="0" fontId="16" fillId="9" borderId="49" xfId="0" applyFont="1" applyFill="1" applyBorder="1" applyAlignment="1">
      <alignment readingOrder="1"/>
    </xf>
    <xf numFmtId="0" fontId="3" fillId="10" borderId="50" xfId="0" applyFont="1" applyFill="1" applyBorder="1" applyAlignment="1">
      <alignment readingOrder="1"/>
    </xf>
    <xf numFmtId="0" fontId="3" fillId="10" borderId="51" xfId="0" applyFont="1" applyFill="1" applyBorder="1" applyAlignment="1">
      <alignment readingOrder="1"/>
    </xf>
    <xf numFmtId="0" fontId="3" fillId="2" borderId="52" xfId="0" applyFont="1" applyFill="1" applyBorder="1" applyAlignment="1">
      <alignment readingOrder="1"/>
    </xf>
    <xf numFmtId="0" fontId="17" fillId="8" borderId="18" xfId="0" applyFont="1" applyFill="1" applyBorder="1" applyAlignment="1">
      <alignment readingOrder="1"/>
    </xf>
    <xf numFmtId="0" fontId="17" fillId="8" borderId="19" xfId="0" applyFont="1" applyFill="1" applyBorder="1" applyAlignment="1">
      <alignment readingOrder="1"/>
    </xf>
    <xf numFmtId="0" fontId="3" fillId="0" borderId="53" xfId="0" applyFont="1" applyBorder="1" applyAlignment="1">
      <alignment horizontal="center" readingOrder="1"/>
    </xf>
    <xf numFmtId="0" fontId="3" fillId="0" borderId="54" xfId="0" applyFont="1" applyBorder="1" applyAlignment="1">
      <alignment horizontal="center" readingOrder="1"/>
    </xf>
    <xf numFmtId="0" fontId="3" fillId="0" borderId="46" xfId="0" applyFont="1" applyBorder="1" applyAlignment="1">
      <alignment horizontal="center" readingOrder="1"/>
    </xf>
    <xf numFmtId="0" fontId="3" fillId="0" borderId="47" xfId="0" applyFont="1" applyBorder="1" applyAlignment="1">
      <alignment horizontal="center" readingOrder="1"/>
    </xf>
    <xf numFmtId="0" fontId="18" fillId="11" borderId="66" xfId="0" applyFont="1" applyFill="1" applyBorder="1" applyAlignment="1">
      <alignment horizontal="center" readingOrder="1"/>
    </xf>
    <xf numFmtId="0" fontId="18" fillId="11" borderId="67" xfId="0" applyFont="1" applyFill="1" applyBorder="1" applyAlignment="1">
      <alignment horizontal="center" readingOrder="1"/>
    </xf>
    <xf numFmtId="0" fontId="18" fillId="11" borderId="68" xfId="0" applyFont="1" applyFill="1" applyBorder="1" applyAlignment="1">
      <alignment horizontal="center" readingOrder="1"/>
    </xf>
    <xf numFmtId="0" fontId="3" fillId="0" borderId="19" xfId="0" applyFont="1" applyBorder="1" applyAlignment="1">
      <alignment horizontal="center" readingOrder="1"/>
    </xf>
    <xf numFmtId="0" fontId="3" fillId="0" borderId="20" xfId="0" applyFont="1" applyBorder="1" applyAlignment="1">
      <alignment horizontal="center" readingOrder="1"/>
    </xf>
    <xf numFmtId="0" fontId="19" fillId="2" borderId="63" xfId="0" applyFont="1" applyFill="1" applyBorder="1" applyAlignment="1">
      <alignment horizontal="center" readingOrder="1"/>
    </xf>
    <xf numFmtId="0" fontId="19" fillId="2" borderId="57" xfId="0" applyFont="1" applyFill="1" applyBorder="1" applyAlignment="1">
      <alignment horizontal="center" readingOrder="1"/>
    </xf>
    <xf numFmtId="0" fontId="19" fillId="2" borderId="65" xfId="0" applyFont="1" applyFill="1" applyBorder="1" applyAlignment="1">
      <alignment horizontal="center" readingOrder="1"/>
    </xf>
    <xf numFmtId="0" fontId="19" fillId="12" borderId="64" xfId="0" applyFont="1" applyFill="1" applyBorder="1" applyAlignment="1">
      <alignment horizontal="center" readingOrder="1"/>
    </xf>
    <xf numFmtId="0" fontId="19" fillId="12" borderId="60" xfId="0" applyFont="1" applyFill="1" applyBorder="1" applyAlignment="1">
      <alignment horizontal="center" readingOrder="1"/>
    </xf>
    <xf numFmtId="0" fontId="19" fillId="12" borderId="65" xfId="0" applyFont="1" applyFill="1" applyBorder="1" applyAlignment="1">
      <alignment horizontal="center" readingOrder="1"/>
    </xf>
    <xf numFmtId="0" fontId="3" fillId="2" borderId="65" xfId="0" applyFont="1" applyFill="1" applyBorder="1" applyAlignment="1">
      <alignment horizontal="center" readingOrder="1"/>
    </xf>
    <xf numFmtId="0" fontId="3" fillId="12" borderId="65" xfId="0" applyFont="1" applyFill="1" applyBorder="1" applyAlignment="1">
      <alignment horizontal="center" readingOrder="1"/>
    </xf>
    <xf numFmtId="0" fontId="19" fillId="12" borderId="69" xfId="0" applyFont="1" applyFill="1" applyBorder="1" applyAlignment="1">
      <alignment horizontal="center" readingOrder="1"/>
    </xf>
    <xf numFmtId="0" fontId="19" fillId="12" borderId="70" xfId="0" applyFont="1" applyFill="1" applyBorder="1" applyAlignment="1">
      <alignment horizontal="center" readingOrder="1"/>
    </xf>
    <xf numFmtId="0" fontId="3" fillId="12" borderId="36" xfId="0" applyFont="1" applyFill="1" applyBorder="1" applyAlignment="1">
      <alignment horizontal="center" readingOrder="1"/>
    </xf>
    <xf numFmtId="0" fontId="3" fillId="2" borderId="56" xfId="0" applyFont="1" applyFill="1" applyBorder="1" applyAlignment="1">
      <alignment horizontal="center" readingOrder="1"/>
    </xf>
    <xf numFmtId="0" fontId="3" fillId="2" borderId="57" xfId="0" applyFont="1" applyFill="1" applyBorder="1" applyAlignment="1">
      <alignment horizontal="center" readingOrder="1"/>
    </xf>
    <xf numFmtId="0" fontId="3" fillId="2" borderId="58" xfId="0" applyFont="1" applyFill="1" applyBorder="1" applyAlignment="1">
      <alignment horizontal="center" readingOrder="1"/>
    </xf>
    <xf numFmtId="0" fontId="3" fillId="12" borderId="59" xfId="0" applyFont="1" applyFill="1" applyBorder="1" applyAlignment="1">
      <alignment horizontal="center" readingOrder="1"/>
    </xf>
    <xf numFmtId="0" fontId="3" fillId="12" borderId="60" xfId="0" applyFont="1" applyFill="1" applyBorder="1" applyAlignment="1">
      <alignment horizontal="center" readingOrder="1"/>
    </xf>
    <xf numFmtId="0" fontId="3" fillId="12" borderId="58" xfId="0" applyFont="1" applyFill="1" applyBorder="1" applyAlignment="1">
      <alignment horizontal="center" readingOrder="1"/>
    </xf>
    <xf numFmtId="0" fontId="3" fillId="2" borderId="61" xfId="0" applyFont="1" applyFill="1" applyBorder="1" applyAlignment="1">
      <alignment horizontal="center" readingOrder="1"/>
    </xf>
    <xf numFmtId="0" fontId="3" fillId="2" borderId="62" xfId="0" applyFont="1" applyFill="1" applyBorder="1" applyAlignment="1">
      <alignment horizontal="center" readingOrder="1"/>
    </xf>
    <xf numFmtId="0" fontId="3" fillId="2" borderId="55" xfId="0" applyFont="1" applyFill="1" applyBorder="1" applyAlignment="1">
      <alignment horizontal="center" readingOrder="1"/>
    </xf>
    <xf numFmtId="0" fontId="3" fillId="0" borderId="18" xfId="0" applyFont="1" applyBorder="1" applyAlignment="1">
      <alignment horizontal="center" readingOrder="1"/>
    </xf>
    <xf numFmtId="0" fontId="3" fillId="0" borderId="43" xfId="0" applyFont="1" applyBorder="1" applyAlignment="1">
      <alignment horizontal="center" readingOrder="1"/>
    </xf>
    <xf numFmtId="0" fontId="3" fillId="0" borderId="44" xfId="0" applyFont="1" applyBorder="1" applyAlignment="1">
      <alignment horizontal="center" readingOrder="1"/>
    </xf>
    <xf numFmtId="0" fontId="3" fillId="0" borderId="15" xfId="0" applyFont="1" applyBorder="1" applyAlignment="1">
      <alignment horizontal="center" readingOrder="1"/>
    </xf>
    <xf numFmtId="0" fontId="3" fillId="2" borderId="71" xfId="0" applyFont="1" applyFill="1" applyBorder="1" applyAlignment="1">
      <alignment readingOrder="1"/>
    </xf>
    <xf numFmtId="0" fontId="20" fillId="2" borderId="72" xfId="0" applyFont="1" applyFill="1" applyBorder="1" applyAlignment="1">
      <alignment readingOrder="1"/>
    </xf>
    <xf numFmtId="0" fontId="21" fillId="2" borderId="31" xfId="0" applyFont="1" applyFill="1" applyBorder="1" applyAlignment="1">
      <alignment readingOrder="1"/>
    </xf>
    <xf numFmtId="0" fontId="22" fillId="4" borderId="40" xfId="0" applyFont="1" applyFill="1" applyBorder="1" applyAlignment="1">
      <alignment readingOrder="1"/>
    </xf>
    <xf numFmtId="0" fontId="13" fillId="2" borderId="18" xfId="0" applyFont="1" applyFill="1" applyBorder="1" applyAlignment="1">
      <alignment wrapText="1" readingOrder="1"/>
    </xf>
    <xf numFmtId="0" fontId="2" fillId="2" borderId="3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4" fillId="2" borderId="7" xfId="0" applyFont="1" applyFill="1" applyBorder="1" applyAlignment="1">
      <alignment readingOrder="1"/>
    </xf>
    <xf numFmtId="0" fontId="4" fillId="2" borderId="8" xfId="0" applyFont="1" applyFill="1" applyBorder="1" applyAlignment="1">
      <alignment readingOrder="1"/>
    </xf>
    <xf numFmtId="0" fontId="6" fillId="2" borderId="27" xfId="0" applyFont="1" applyFill="1" applyBorder="1" applyAlignment="1">
      <alignment readingOrder="1"/>
    </xf>
    <xf numFmtId="0" fontId="6" fillId="2" borderId="28" xfId="0" applyFont="1" applyFill="1" applyBorder="1" applyAlignment="1">
      <alignment readingOrder="1"/>
    </xf>
    <xf numFmtId="0" fontId="6" fillId="2" borderId="29" xfId="0" applyFont="1" applyFill="1" applyBorder="1" applyAlignment="1">
      <alignment readingOrder="1"/>
    </xf>
    <xf numFmtId="0" fontId="10" fillId="3" borderId="33" xfId="0" applyFont="1" applyFill="1" applyBorder="1" applyAlignment="1">
      <alignment readingOrder="1"/>
    </xf>
    <xf numFmtId="0" fontId="10" fillId="3" borderId="34" xfId="0" applyFont="1" applyFill="1" applyBorder="1" applyAlignment="1">
      <alignment readingOrder="1"/>
    </xf>
    <xf numFmtId="0" fontId="10" fillId="3" borderId="35" xfId="0" applyFont="1" applyFill="1" applyBorder="1" applyAlignment="1">
      <alignment readingOrder="1"/>
    </xf>
    <xf numFmtId="0" fontId="10" fillId="3" borderId="38" xfId="0" applyFont="1" applyFill="1" applyBorder="1" applyAlignment="1">
      <alignment readingOrder="1"/>
    </xf>
    <xf numFmtId="0" fontId="2" fillId="2" borderId="6" xfId="0" applyFont="1" applyFill="1" applyBorder="1" applyAlignment="1">
      <alignment readingOrder="1"/>
    </xf>
    <xf numFmtId="0" fontId="6" fillId="2" borderId="73" xfId="0" applyFont="1" applyFill="1" applyBorder="1" applyAlignment="1">
      <alignment readingOrder="1"/>
    </xf>
    <xf numFmtId="0" fontId="6" fillId="2" borderId="74" xfId="0" applyFont="1" applyFill="1" applyBorder="1" applyAlignment="1">
      <alignment readingOrder="1"/>
    </xf>
    <xf numFmtId="0" fontId="6" fillId="2" borderId="75" xfId="0" applyFont="1" applyFill="1" applyBorder="1" applyAlignment="1">
      <alignment readingOrder="1"/>
    </xf>
    <xf numFmtId="0" fontId="23" fillId="0" borderId="76" xfId="0" applyFont="1" applyBorder="1" applyAlignment="1">
      <alignment horizontal="center" wrapText="1"/>
    </xf>
    <xf numFmtId="0" fontId="23" fillId="0" borderId="77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fill>
        <patternFill patternType="solid">
          <fgColor indexed="64"/>
          <bgColor rgb="FFF6F8F9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fill>
        <patternFill patternType="solid">
          <fgColor indexed="64"/>
          <bgColor rgb="FFF6F8F9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fill>
        <patternFill patternType="solid">
          <fgColor indexed="64"/>
          <bgColor rgb="FFF6F8F9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fill>
        <patternFill patternType="solid">
          <fgColor indexed="64"/>
          <bgColor rgb="FFF6F8F9"/>
        </patternFill>
      </fill>
      <alignment horizontal="center" vertical="bottom" textRotation="0" wrapText="0" indent="0" justifyLastLine="0" shrinkToFit="0" readingOrder="1"/>
      <border diagonalUp="0" diagonalDown="0">
        <left/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284E3F"/>
        </bottom>
      </border>
    </dxf>
    <dxf>
      <border outline="0">
        <left style="thin">
          <color rgb="FF000000"/>
        </left>
        <right style="thin">
          <color rgb="FF284E3F"/>
        </right>
        <top style="thin">
          <color rgb="FFCCCCCC"/>
        </top>
        <bottom style="thin">
          <color rgb="FFF6F8F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fill>
        <patternFill patternType="solid">
          <fgColor indexed="64"/>
          <bgColor rgb="FFF6F8F9"/>
        </patternFill>
      </fill>
      <alignment horizontal="center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charset val="1"/>
        <scheme val="none"/>
      </font>
      <fill>
        <patternFill patternType="solid">
          <fgColor indexed="64"/>
          <bgColor rgb="FF356854"/>
        </patternFill>
      </fill>
      <alignment horizontal="center" vertical="bottom" textRotation="0" wrapText="0" indent="0" justifyLastLine="0" shrinkToFit="0" readingOrder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386073-D9CC-4831-B440-C5A24A230397}" name="Table1" displayName="Table1" ref="A2:E162" totalsRowShown="0" headerRowDxfId="9" dataDxfId="8" headerRowBorderDxfId="6" tableBorderDxfId="7" totalsRowBorderDxfId="5">
  <autoFilter ref="A2:E162" xr:uid="{5F386073-D9CC-4831-B440-C5A24A230397}"/>
  <tableColumns count="5">
    <tableColumn id="1" xr3:uid="{7F06DF49-0EB2-43D3-9048-811E272C4A09}" name="Team" dataDxfId="4"/>
    <tableColumn id="2" xr3:uid="{0077FE59-8635-4009-A5EA-C58F9CECA65C}" name="Team Average" dataDxfId="3"/>
    <tableColumn id="3" xr3:uid="{FD44832D-8AFB-4D46-A9F2-3490451F7471}" name="Player" dataDxfId="2"/>
    <tableColumn id="4" xr3:uid="{7FFC25A8-CD5C-4408-8F8E-D3B2AAE6F056}" name="Rating" dataDxfId="1"/>
    <tableColumn id="5" xr3:uid="{C04E210B-12C8-499A-9CAD-F3087ED202A9}" name="Posi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ootballdb.com/teams/nfl/green-bay-packers" TargetMode="External"/><Relationship Id="rId21" Type="http://schemas.openxmlformats.org/officeDocument/2006/relationships/hyperlink" Target="https://www.espn.com/nfl/team/_/name/ne/new-england-patriots" TargetMode="External"/><Relationship Id="rId42" Type="http://schemas.openxmlformats.org/officeDocument/2006/relationships/hyperlink" Target="https://www.espn.com/nfl/team/_/name/phi/philadelphia-eagles" TargetMode="External"/><Relationship Id="rId63" Type="http://schemas.openxmlformats.org/officeDocument/2006/relationships/hyperlink" Target="https://www.espn.com/nfl/team/_/name/lar/los-angeles-rams" TargetMode="External"/><Relationship Id="rId84" Type="http://schemas.openxmlformats.org/officeDocument/2006/relationships/hyperlink" Target="https://www.espn.com/nfl/team/_/name/sf/san-francisco-49ers" TargetMode="External"/><Relationship Id="rId138" Type="http://schemas.openxmlformats.org/officeDocument/2006/relationships/hyperlink" Target="https://www.footballdb.com/teams/nfl/dallas-cowboys" TargetMode="External"/><Relationship Id="rId16" Type="http://schemas.openxmlformats.org/officeDocument/2006/relationships/hyperlink" Target="https://www.espn.com/nfl/stats/team/_/table/rushing/sort/rushingYardsPerGame/dir/desc" TargetMode="External"/><Relationship Id="rId107" Type="http://schemas.openxmlformats.org/officeDocument/2006/relationships/hyperlink" Target="https://www.footballdb.com/teams/nfl/seattle-seahawks" TargetMode="External"/><Relationship Id="rId11" Type="http://schemas.openxmlformats.org/officeDocument/2006/relationships/hyperlink" Target="https://www.espn.com/nfl/stats/team/_/table/passing/sort/netTotalYards/dir/desc" TargetMode="External"/><Relationship Id="rId32" Type="http://schemas.openxmlformats.org/officeDocument/2006/relationships/hyperlink" Target="https://www.espn.com/nfl/team/_/name/atl/atlanta-falcons" TargetMode="External"/><Relationship Id="rId37" Type="http://schemas.openxmlformats.org/officeDocument/2006/relationships/hyperlink" Target="https://www.espn.com/nfl/team/_/name/ari/arizona-cardinals" TargetMode="External"/><Relationship Id="rId53" Type="http://schemas.openxmlformats.org/officeDocument/2006/relationships/hyperlink" Target="https://www.espn.com/nfl/stats/team/_/view/turnovers/split/opponent/table/passing/sort/interceptions/dir/desc" TargetMode="External"/><Relationship Id="rId58" Type="http://schemas.openxmlformats.org/officeDocument/2006/relationships/hyperlink" Target="https://www.espn.com/nfl/stats/team/_/view/turnovers/table/miscellaneous/sort/totalGiveaways/dir/asc" TargetMode="External"/><Relationship Id="rId74" Type="http://schemas.openxmlformats.org/officeDocument/2006/relationships/hyperlink" Target="https://www.espn.com/nfl/team/_/name/car/carolina-panthers" TargetMode="External"/><Relationship Id="rId79" Type="http://schemas.openxmlformats.org/officeDocument/2006/relationships/hyperlink" Target="https://www.espn.com/nfl/team/_/name/den/denver-broncos" TargetMode="External"/><Relationship Id="rId102" Type="http://schemas.openxmlformats.org/officeDocument/2006/relationships/hyperlink" Target="https://www.footballdb.com/statistics/nfl/team-stats/defense-scoring/2025/regular-season?sort=kickxpm" TargetMode="External"/><Relationship Id="rId123" Type="http://schemas.openxmlformats.org/officeDocument/2006/relationships/hyperlink" Target="https://www.footballdb.com/teams/nfl/pittsburgh-steelers" TargetMode="External"/><Relationship Id="rId128" Type="http://schemas.openxmlformats.org/officeDocument/2006/relationships/hyperlink" Target="https://www.footballdb.com/teams/nfl/detroit-lions" TargetMode="External"/><Relationship Id="rId5" Type="http://schemas.openxmlformats.org/officeDocument/2006/relationships/hyperlink" Target="https://www.espn.com/nfl/stats/team/_/table/passing/sort/netPassingYardsPerGame/dir/desc" TargetMode="External"/><Relationship Id="rId90" Type="http://schemas.openxmlformats.org/officeDocument/2006/relationships/hyperlink" Target="https://www.espn.com/nfl/team/_/name/nyj/new-york-jets" TargetMode="External"/><Relationship Id="rId95" Type="http://schemas.openxmlformats.org/officeDocument/2006/relationships/hyperlink" Target="https://www.footballdb.com/statistics/nfl/team-stats/defense-scoring/2025/regular-season?sort=krtds" TargetMode="External"/><Relationship Id="rId22" Type="http://schemas.openxmlformats.org/officeDocument/2006/relationships/hyperlink" Target="https://www.espn.com/nfl/team/_/name/buf/buffalo-bills" TargetMode="External"/><Relationship Id="rId27" Type="http://schemas.openxmlformats.org/officeDocument/2006/relationships/hyperlink" Target="https://www.espn.com/nfl/team/_/name/ind/indianapolis-colts" TargetMode="External"/><Relationship Id="rId43" Type="http://schemas.openxmlformats.org/officeDocument/2006/relationships/hyperlink" Target="https://www.espn.com/nfl/team/_/name/pit/pittsburgh-steelers" TargetMode="External"/><Relationship Id="rId48" Type="http://schemas.openxmlformats.org/officeDocument/2006/relationships/hyperlink" Target="https://www.espn.com/nfl/team/_/name/cle/cleveland-browns" TargetMode="External"/><Relationship Id="rId64" Type="http://schemas.openxmlformats.org/officeDocument/2006/relationships/hyperlink" Target="https://www.espn.com/nfl/team/_/name/tb/tampa-bay-buccaneers" TargetMode="External"/><Relationship Id="rId69" Type="http://schemas.openxmlformats.org/officeDocument/2006/relationships/hyperlink" Target="https://www.espn.com/nfl/team/_/name/lac/los-angeles-chargers" TargetMode="External"/><Relationship Id="rId113" Type="http://schemas.openxmlformats.org/officeDocument/2006/relationships/hyperlink" Target="https://www.footballdb.com/teams/nfl/minnesota-vikings" TargetMode="External"/><Relationship Id="rId118" Type="http://schemas.openxmlformats.org/officeDocument/2006/relationships/hyperlink" Target="https://www.footballdb.com/teams/nfl/buffalo-bills" TargetMode="External"/><Relationship Id="rId134" Type="http://schemas.openxmlformats.org/officeDocument/2006/relationships/hyperlink" Target="https://www.footballdb.com/teams/nfl/tennessee-titans" TargetMode="External"/><Relationship Id="rId80" Type="http://schemas.openxmlformats.org/officeDocument/2006/relationships/hyperlink" Target="https://www.espn.com/nfl/team/_/name/sea/seattle-seahawks" TargetMode="External"/><Relationship Id="rId85" Type="http://schemas.openxmlformats.org/officeDocument/2006/relationships/hyperlink" Target="https://www.espn.com/nfl/team/_/name/cle/cleveland-browns" TargetMode="External"/><Relationship Id="rId12" Type="http://schemas.openxmlformats.org/officeDocument/2006/relationships/hyperlink" Target="https://www.espn.com/nfl/stats/team/_/table/passing/sort/netYardsPerGame/dir/asc" TargetMode="External"/><Relationship Id="rId17" Type="http://schemas.openxmlformats.org/officeDocument/2006/relationships/hyperlink" Target="https://www.espn.com/nfl/stats/team/_/table/passing/sort/totalPoints/dir/desc" TargetMode="External"/><Relationship Id="rId33" Type="http://schemas.openxmlformats.org/officeDocument/2006/relationships/hyperlink" Target="https://www.espn.com/nfl/team/_/name/gb/green-bay-packers" TargetMode="External"/><Relationship Id="rId38" Type="http://schemas.openxmlformats.org/officeDocument/2006/relationships/hyperlink" Target="https://www.espn.com/nfl/team/_/name/kc/kansas-city-chiefs" TargetMode="External"/><Relationship Id="rId59" Type="http://schemas.openxmlformats.org/officeDocument/2006/relationships/hyperlink" Target="https://www.espn.com/nfl/team/_/name/chi/chicago-bears" TargetMode="External"/><Relationship Id="rId103" Type="http://schemas.openxmlformats.org/officeDocument/2006/relationships/hyperlink" Target="https://www.footballdb.com/statistics/nfl/team-stats/defense-scoring/2025/regular-season?sort=kickfgm" TargetMode="External"/><Relationship Id="rId108" Type="http://schemas.openxmlformats.org/officeDocument/2006/relationships/hyperlink" Target="https://www.footballdb.com/teams/nfl/houston-texans" TargetMode="External"/><Relationship Id="rId124" Type="http://schemas.openxmlformats.org/officeDocument/2006/relationships/hyperlink" Target="https://www.footballdb.com/teams/nfl/baltimore-ravens" TargetMode="External"/><Relationship Id="rId129" Type="http://schemas.openxmlformats.org/officeDocument/2006/relationships/hyperlink" Target="https://www.footballdb.com/teams/nfl/chicago-bears" TargetMode="External"/><Relationship Id="rId54" Type="http://schemas.openxmlformats.org/officeDocument/2006/relationships/hyperlink" Target="https://www.espn.com/nfl/stats/team/_/view/turnovers/table/general/sort/fumblesRecovered/dir/desc" TargetMode="External"/><Relationship Id="rId70" Type="http://schemas.openxmlformats.org/officeDocument/2006/relationships/hyperlink" Target="https://www.espn.com/nfl/team/_/name/buf/buffalo-bills" TargetMode="External"/><Relationship Id="rId75" Type="http://schemas.openxmlformats.org/officeDocument/2006/relationships/hyperlink" Target="https://www.espn.com/nfl/team/_/name/ind/indianapolis-colts" TargetMode="External"/><Relationship Id="rId91" Type="http://schemas.openxmlformats.org/officeDocument/2006/relationships/hyperlink" Target="https://www.footballdb.com/statistics/nfl/team-stats/defense-scoring/2025/regular-season?sort=teamname" TargetMode="External"/><Relationship Id="rId96" Type="http://schemas.openxmlformats.org/officeDocument/2006/relationships/hyperlink" Target="https://www.footballdb.com/statistics/nfl/team-stats/defense-scoring/2025/regular-season?sort=prtds" TargetMode="External"/><Relationship Id="rId1" Type="http://schemas.openxmlformats.org/officeDocument/2006/relationships/hyperlink" Target="https://www.espn.com/nfl/stats/team/_/table/general/sort/gamesPlayed/dir/desc" TargetMode="External"/><Relationship Id="rId6" Type="http://schemas.openxmlformats.org/officeDocument/2006/relationships/hyperlink" Target="https://www.espn.com/nfl/stats/team/_/table/rushing/sort/rushingYards/dir/desc" TargetMode="External"/><Relationship Id="rId23" Type="http://schemas.openxmlformats.org/officeDocument/2006/relationships/hyperlink" Target="https://www.espn.com/nfl/team/_/name/det/detroit-lions" TargetMode="External"/><Relationship Id="rId28" Type="http://schemas.openxmlformats.org/officeDocument/2006/relationships/hyperlink" Target="https://www.espn.com/nfl/team/_/name/den/denver-broncos" TargetMode="External"/><Relationship Id="rId49" Type="http://schemas.openxmlformats.org/officeDocument/2006/relationships/hyperlink" Target="https://www.espn.com/nfl/team/_/name/ten/tennessee-titans" TargetMode="External"/><Relationship Id="rId114" Type="http://schemas.openxmlformats.org/officeDocument/2006/relationships/hyperlink" Target="https://www.footballdb.com/teams/nfl/jacksonville-jaguars" TargetMode="External"/><Relationship Id="rId119" Type="http://schemas.openxmlformats.org/officeDocument/2006/relationships/hyperlink" Target="https://www.footballdb.com/teams/nfl/san-francisco-49ers" TargetMode="External"/><Relationship Id="rId44" Type="http://schemas.openxmlformats.org/officeDocument/2006/relationships/hyperlink" Target="https://www.espn.com/nfl/team/_/name/mia/miami-dolphins" TargetMode="External"/><Relationship Id="rId60" Type="http://schemas.openxmlformats.org/officeDocument/2006/relationships/hyperlink" Target="https://www.espn.com/nfl/team/_/name/hou/houston-texans" TargetMode="External"/><Relationship Id="rId65" Type="http://schemas.openxmlformats.org/officeDocument/2006/relationships/hyperlink" Target="https://www.espn.com/nfl/team/_/name/phi/philadelphia-eagles" TargetMode="External"/><Relationship Id="rId81" Type="http://schemas.openxmlformats.org/officeDocument/2006/relationships/hyperlink" Target="https://www.espn.com/nfl/team/_/name/mia/miami-dolphins" TargetMode="External"/><Relationship Id="rId86" Type="http://schemas.openxmlformats.org/officeDocument/2006/relationships/hyperlink" Target="https://www.espn.com/nfl/team/_/name/lv/las-vegas-raiders" TargetMode="External"/><Relationship Id="rId130" Type="http://schemas.openxmlformats.org/officeDocument/2006/relationships/hyperlink" Target="https://www.footballdb.com/teams/nfl/miami-dolphins" TargetMode="External"/><Relationship Id="rId135" Type="http://schemas.openxmlformats.org/officeDocument/2006/relationships/hyperlink" Target="https://www.footballdb.com/teams/nfl/arizona-cardinals" TargetMode="External"/><Relationship Id="rId13" Type="http://schemas.openxmlformats.org/officeDocument/2006/relationships/hyperlink" Target="https://www.espn.com/nfl/stats/team/_/table/passing/sort/netPassingYards/dir/desc" TargetMode="External"/><Relationship Id="rId18" Type="http://schemas.openxmlformats.org/officeDocument/2006/relationships/hyperlink" Target="https://www.espn.com/nfl/stats/team/_/table/passing/sort/totalPointsPerGame/dir/desc" TargetMode="External"/><Relationship Id="rId39" Type="http://schemas.openxmlformats.org/officeDocument/2006/relationships/hyperlink" Target="https://www.espn.com/nfl/team/_/name/tb/tampa-bay-buccaneers" TargetMode="External"/><Relationship Id="rId109" Type="http://schemas.openxmlformats.org/officeDocument/2006/relationships/hyperlink" Target="https://www.footballdb.com/teams/nfl/denver-broncos" TargetMode="External"/><Relationship Id="rId34" Type="http://schemas.openxmlformats.org/officeDocument/2006/relationships/hyperlink" Target="https://www.espn.com/nfl/team/_/name/bal/baltimore-ravens" TargetMode="External"/><Relationship Id="rId50" Type="http://schemas.openxmlformats.org/officeDocument/2006/relationships/hyperlink" Target="https://www.espn.com/nfl/team/_/name/lv/las-vegas-raiders" TargetMode="External"/><Relationship Id="rId55" Type="http://schemas.openxmlformats.org/officeDocument/2006/relationships/hyperlink" Target="https://www.espn.com/nfl/stats/team/_/view/turnovers/table/miscellaneous/sort/totalTakeaways/dir/desc" TargetMode="External"/><Relationship Id="rId76" Type="http://schemas.openxmlformats.org/officeDocument/2006/relationships/hyperlink" Target="https://www.espn.com/nfl/team/_/name/nyg/new-york-giants" TargetMode="External"/><Relationship Id="rId97" Type="http://schemas.openxmlformats.org/officeDocument/2006/relationships/hyperlink" Target="https://www.footballdb.com/statistics/nfl/team-stats/defense-scoring/2025/regular-season?sort=deftds" TargetMode="External"/><Relationship Id="rId104" Type="http://schemas.openxmlformats.org/officeDocument/2006/relationships/hyperlink" Target="https://www.footballdb.com/statistics/nfl/team-stats/defense-scoring/2025/regular-season?sort=tot2pt" TargetMode="External"/><Relationship Id="rId120" Type="http://schemas.openxmlformats.org/officeDocument/2006/relationships/hyperlink" Target="https://www.footballdb.com/teams/nfl/cleveland-browns" TargetMode="External"/><Relationship Id="rId125" Type="http://schemas.openxmlformats.org/officeDocument/2006/relationships/hyperlink" Target="https://www.footballdb.com/teams/nfl/atlanta-falcons" TargetMode="External"/><Relationship Id="rId7" Type="http://schemas.openxmlformats.org/officeDocument/2006/relationships/hyperlink" Target="https://www.espn.com/nfl/stats/team/_/table/rushing/sort/rushingYardsPerGame/dir/desc" TargetMode="External"/><Relationship Id="rId71" Type="http://schemas.openxmlformats.org/officeDocument/2006/relationships/hyperlink" Target="https://www.espn.com/nfl/team/_/name/gb/green-bay-packers" TargetMode="External"/><Relationship Id="rId92" Type="http://schemas.openxmlformats.org/officeDocument/2006/relationships/hyperlink" Target="https://www.footballdb.com/statistics/nfl/team-stats/defense-scoring/2025/regular-season?sort=tottds" TargetMode="External"/><Relationship Id="rId2" Type="http://schemas.openxmlformats.org/officeDocument/2006/relationships/hyperlink" Target="https://www.espn.com/nfl/stats/team/_/table/passing/sort/netTotalYards/dir/desc" TargetMode="External"/><Relationship Id="rId29" Type="http://schemas.openxmlformats.org/officeDocument/2006/relationships/hyperlink" Target="https://www.espn.com/nfl/team/_/name/jax/jacksonville-jaguars" TargetMode="External"/><Relationship Id="rId24" Type="http://schemas.openxmlformats.org/officeDocument/2006/relationships/hyperlink" Target="https://www.espn.com/nfl/team/_/name/chi/chicago-bears" TargetMode="External"/><Relationship Id="rId40" Type="http://schemas.openxmlformats.org/officeDocument/2006/relationships/hyperlink" Target="https://www.espn.com/nfl/team/_/name/wsh/washington-commanders" TargetMode="External"/><Relationship Id="rId45" Type="http://schemas.openxmlformats.org/officeDocument/2006/relationships/hyperlink" Target="https://www.espn.com/nfl/team/_/name/car/carolina-panthers" TargetMode="External"/><Relationship Id="rId66" Type="http://schemas.openxmlformats.org/officeDocument/2006/relationships/hyperlink" Target="https://www.espn.com/nfl/team/_/name/atl/atlanta-falcons" TargetMode="External"/><Relationship Id="rId87" Type="http://schemas.openxmlformats.org/officeDocument/2006/relationships/hyperlink" Target="https://www.espn.com/nfl/team/_/name/dal/dallas-cowboys" TargetMode="External"/><Relationship Id="rId110" Type="http://schemas.openxmlformats.org/officeDocument/2006/relationships/hyperlink" Target="https://www.footballdb.com/teams/nfl/new-england-patriots" TargetMode="External"/><Relationship Id="rId115" Type="http://schemas.openxmlformats.org/officeDocument/2006/relationships/hyperlink" Target="https://www.footballdb.com/teams/nfl/los-angeles-chargers" TargetMode="External"/><Relationship Id="rId131" Type="http://schemas.openxmlformats.org/officeDocument/2006/relationships/hyperlink" Target="https://www.footballdb.com/teams/nfl/las-vegas-raiders" TargetMode="External"/><Relationship Id="rId136" Type="http://schemas.openxmlformats.org/officeDocument/2006/relationships/hyperlink" Target="https://www.footballdb.com/teams/nfl/cincinnati-bengals" TargetMode="External"/><Relationship Id="rId61" Type="http://schemas.openxmlformats.org/officeDocument/2006/relationships/hyperlink" Target="https://www.espn.com/nfl/team/_/name/jax/jacksonville-jaguars" TargetMode="External"/><Relationship Id="rId82" Type="http://schemas.openxmlformats.org/officeDocument/2006/relationships/hyperlink" Target="https://www.espn.com/nfl/team/_/name/no/new-orleans-saints" TargetMode="External"/><Relationship Id="rId19" Type="http://schemas.openxmlformats.org/officeDocument/2006/relationships/hyperlink" Target="https://www.espn.com/nfl/team/_/name/lar/los-angeles-rams" TargetMode="External"/><Relationship Id="rId14" Type="http://schemas.openxmlformats.org/officeDocument/2006/relationships/hyperlink" Target="https://www.espn.com/nfl/stats/team/_/table/passing/sort/netPassingYardsPerGame/dir/desc" TargetMode="External"/><Relationship Id="rId30" Type="http://schemas.openxmlformats.org/officeDocument/2006/relationships/hyperlink" Target="https://www.espn.com/nfl/team/_/name/lac/los-angeles-chargers" TargetMode="External"/><Relationship Id="rId35" Type="http://schemas.openxmlformats.org/officeDocument/2006/relationships/hyperlink" Target="https://www.espn.com/nfl/team/_/name/cin/cincinnati-bengals" TargetMode="External"/><Relationship Id="rId56" Type="http://schemas.openxmlformats.org/officeDocument/2006/relationships/hyperlink" Target="https://www.espn.com/nfl/stats/team/_/view/turnovers/table/passing/sort/interceptions/dir/asc" TargetMode="External"/><Relationship Id="rId77" Type="http://schemas.openxmlformats.org/officeDocument/2006/relationships/hyperlink" Target="https://www.espn.com/nfl/team/_/name/bal/baltimore-ravens" TargetMode="External"/><Relationship Id="rId100" Type="http://schemas.openxmlformats.org/officeDocument/2006/relationships/hyperlink" Target="https://www.footballdb.com/statistics/nfl/team-stats/defense-scoring/2025/regular-season?sort=bptds" TargetMode="External"/><Relationship Id="rId105" Type="http://schemas.openxmlformats.org/officeDocument/2006/relationships/hyperlink" Target="https://www.footballdb.com/statistics/nfl/team-stats/defense-scoring/2025/regular-season?sort=safety" TargetMode="External"/><Relationship Id="rId126" Type="http://schemas.openxmlformats.org/officeDocument/2006/relationships/hyperlink" Target="https://www.footballdb.com/teams/nfl/tampa-bay-buccaneers" TargetMode="External"/><Relationship Id="rId8" Type="http://schemas.openxmlformats.org/officeDocument/2006/relationships/hyperlink" Target="https://www.espn.com/nfl/stats/team/_/table/passing/sort/totalPoints/dir/desc" TargetMode="External"/><Relationship Id="rId51" Type="http://schemas.openxmlformats.org/officeDocument/2006/relationships/hyperlink" Target="https://www.espn.com/nfl/stats/team/_/view/turnovers/table/general/sort/gamesPlayed/dir/desc" TargetMode="External"/><Relationship Id="rId72" Type="http://schemas.openxmlformats.org/officeDocument/2006/relationships/hyperlink" Target="https://www.espn.com/nfl/team/_/name/kc/kansas-city-chiefs" TargetMode="External"/><Relationship Id="rId93" Type="http://schemas.openxmlformats.org/officeDocument/2006/relationships/hyperlink" Target="https://www.footballdb.com/statistics/nfl/team-stats/defense-scoring/2025/regular-season?sort=rushtds" TargetMode="External"/><Relationship Id="rId98" Type="http://schemas.openxmlformats.org/officeDocument/2006/relationships/hyperlink" Target="https://www.footballdb.com/statistics/nfl/team-stats/defense-scoring/2025/regular-season?sort=fumtds" TargetMode="External"/><Relationship Id="rId121" Type="http://schemas.openxmlformats.org/officeDocument/2006/relationships/hyperlink" Target="https://www.footballdb.com/teams/nfl/carolina-panthers" TargetMode="External"/><Relationship Id="rId3" Type="http://schemas.openxmlformats.org/officeDocument/2006/relationships/hyperlink" Target="https://www.espn.com/nfl/stats/team/_/table/passing/sort/netYardsPerGame/dir/asc" TargetMode="External"/><Relationship Id="rId25" Type="http://schemas.openxmlformats.org/officeDocument/2006/relationships/hyperlink" Target="https://www.espn.com/nfl/team/_/name/sf/san-francisco-49ers" TargetMode="External"/><Relationship Id="rId46" Type="http://schemas.openxmlformats.org/officeDocument/2006/relationships/hyperlink" Target="https://www.espn.com/nfl/team/_/name/min/minnesota-vikings" TargetMode="External"/><Relationship Id="rId67" Type="http://schemas.openxmlformats.org/officeDocument/2006/relationships/hyperlink" Target="https://www.espn.com/nfl/team/_/name/det/detroit-lions" TargetMode="External"/><Relationship Id="rId116" Type="http://schemas.openxmlformats.org/officeDocument/2006/relationships/hyperlink" Target="https://www.footballdb.com/teams/nfl/los-angeles-rams" TargetMode="External"/><Relationship Id="rId137" Type="http://schemas.openxmlformats.org/officeDocument/2006/relationships/hyperlink" Target="https://www.footballdb.com/teams/nfl/new-york-jets" TargetMode="External"/><Relationship Id="rId20" Type="http://schemas.openxmlformats.org/officeDocument/2006/relationships/hyperlink" Target="https://www.espn.com/nfl/team/_/name/dal/dallas-cowboys" TargetMode="External"/><Relationship Id="rId41" Type="http://schemas.openxmlformats.org/officeDocument/2006/relationships/hyperlink" Target="https://www.espn.com/nfl/team/_/name/no/new-orleans-saints" TargetMode="External"/><Relationship Id="rId62" Type="http://schemas.openxmlformats.org/officeDocument/2006/relationships/hyperlink" Target="https://www.espn.com/nfl/team/_/name/pit/pittsburgh-steelers" TargetMode="External"/><Relationship Id="rId83" Type="http://schemas.openxmlformats.org/officeDocument/2006/relationships/hyperlink" Target="https://www.espn.com/nfl/team/_/name/ten/tennessee-titans" TargetMode="External"/><Relationship Id="rId88" Type="http://schemas.openxmlformats.org/officeDocument/2006/relationships/hyperlink" Target="https://www.espn.com/nfl/team/_/name/min/minnesota-vikings" TargetMode="External"/><Relationship Id="rId111" Type="http://schemas.openxmlformats.org/officeDocument/2006/relationships/hyperlink" Target="https://www.footballdb.com/teams/nfl/philadelphia-eagles" TargetMode="External"/><Relationship Id="rId132" Type="http://schemas.openxmlformats.org/officeDocument/2006/relationships/hyperlink" Target="https://www.footballdb.com/teams/nfl/new-york-giants" TargetMode="External"/><Relationship Id="rId15" Type="http://schemas.openxmlformats.org/officeDocument/2006/relationships/hyperlink" Target="https://www.espn.com/nfl/stats/team/_/table/rushing/sort/rushingYards/dir/desc" TargetMode="External"/><Relationship Id="rId36" Type="http://schemas.openxmlformats.org/officeDocument/2006/relationships/hyperlink" Target="https://www.espn.com/nfl/team/_/name/hou/houston-texans" TargetMode="External"/><Relationship Id="rId57" Type="http://schemas.openxmlformats.org/officeDocument/2006/relationships/hyperlink" Target="https://www.espn.com/nfl/stats/team/_/view/turnovers/table/general/sort/fumblesLost/dir/asc" TargetMode="External"/><Relationship Id="rId106" Type="http://schemas.openxmlformats.org/officeDocument/2006/relationships/hyperlink" Target="https://www.footballdb.com/statistics/nfl/team-stats/defense-scoring/2025/regular-season?sort=totpts" TargetMode="External"/><Relationship Id="rId127" Type="http://schemas.openxmlformats.org/officeDocument/2006/relationships/hyperlink" Target="https://www.footballdb.com/teams/nfl/indianapolis-colts" TargetMode="External"/><Relationship Id="rId10" Type="http://schemas.openxmlformats.org/officeDocument/2006/relationships/hyperlink" Target="https://www.espn.com/nfl/stats/team/_/table/general/sort/gamesPlayed/dir/desc" TargetMode="External"/><Relationship Id="rId31" Type="http://schemas.openxmlformats.org/officeDocument/2006/relationships/hyperlink" Target="https://www.espn.com/nfl/team/_/name/nyg/new-york-giants" TargetMode="External"/><Relationship Id="rId52" Type="http://schemas.openxmlformats.org/officeDocument/2006/relationships/hyperlink" Target="https://www.espn.com/nfl/stats/team/_/view/turnovers/table/miscellaneous/sort/turnOverDifferential/dir/asc" TargetMode="External"/><Relationship Id="rId73" Type="http://schemas.openxmlformats.org/officeDocument/2006/relationships/hyperlink" Target="https://www.espn.com/nfl/team/_/name/ari/arizona-cardinals" TargetMode="External"/><Relationship Id="rId78" Type="http://schemas.openxmlformats.org/officeDocument/2006/relationships/hyperlink" Target="https://www.espn.com/nfl/team/_/name/cin/cincinnati-bengals" TargetMode="External"/><Relationship Id="rId94" Type="http://schemas.openxmlformats.org/officeDocument/2006/relationships/hyperlink" Target="https://www.footballdb.com/statistics/nfl/team-stats/defense-scoring/2025/regular-season?sort=passtds" TargetMode="External"/><Relationship Id="rId99" Type="http://schemas.openxmlformats.org/officeDocument/2006/relationships/hyperlink" Target="https://www.footballdb.com/statistics/nfl/team-stats/defense-scoring/2025/regular-season?sort=bktds" TargetMode="External"/><Relationship Id="rId101" Type="http://schemas.openxmlformats.org/officeDocument/2006/relationships/hyperlink" Target="https://www.footballdb.com/statistics/nfl/team-stats/defense-scoring/2025/regular-season?sort=nrtds" TargetMode="External"/><Relationship Id="rId122" Type="http://schemas.openxmlformats.org/officeDocument/2006/relationships/hyperlink" Target="https://www.footballdb.com/teams/nfl/new-orleans-saints" TargetMode="External"/><Relationship Id="rId4" Type="http://schemas.openxmlformats.org/officeDocument/2006/relationships/hyperlink" Target="https://www.espn.com/nfl/stats/team/_/table/passing/sort/netPassingYards/dir/desc" TargetMode="External"/><Relationship Id="rId9" Type="http://schemas.openxmlformats.org/officeDocument/2006/relationships/hyperlink" Target="https://www.espn.com/nfl/stats/team/_/table/passing/sort/totalPointsPerGame/dir/desc" TargetMode="External"/><Relationship Id="rId26" Type="http://schemas.openxmlformats.org/officeDocument/2006/relationships/hyperlink" Target="https://www.espn.com/nfl/team/_/name/sea/seattle-seahawks" TargetMode="External"/><Relationship Id="rId47" Type="http://schemas.openxmlformats.org/officeDocument/2006/relationships/hyperlink" Target="https://www.espn.com/nfl/team/_/name/nyj/new-york-jets" TargetMode="External"/><Relationship Id="rId68" Type="http://schemas.openxmlformats.org/officeDocument/2006/relationships/hyperlink" Target="https://www.espn.com/nfl/team/_/name/ne/new-england-patriots" TargetMode="External"/><Relationship Id="rId89" Type="http://schemas.openxmlformats.org/officeDocument/2006/relationships/hyperlink" Target="https://www.espn.com/nfl/team/_/name/wsh/washington-commanders" TargetMode="External"/><Relationship Id="rId112" Type="http://schemas.openxmlformats.org/officeDocument/2006/relationships/hyperlink" Target="https://www.footballdb.com/teams/nfl/kansas-city-chiefs" TargetMode="External"/><Relationship Id="rId133" Type="http://schemas.openxmlformats.org/officeDocument/2006/relationships/hyperlink" Target="https://www.footballdb.com/teams/nfl/washington-commander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.com/nfl/team/_/name/nyg/new-york-giants" TargetMode="External"/><Relationship Id="rId21" Type="http://schemas.openxmlformats.org/officeDocument/2006/relationships/hyperlink" Target="https://www.espn.com/nfl/team/_/name/gb/green-bay-packers" TargetMode="External"/><Relationship Id="rId42" Type="http://schemas.openxmlformats.org/officeDocument/2006/relationships/hyperlink" Target="https://www.footballdb.com/statistics/nfl/team-stats/defense-scoring/2025/regular-season?sort=tottds" TargetMode="External"/><Relationship Id="rId47" Type="http://schemas.openxmlformats.org/officeDocument/2006/relationships/hyperlink" Target="https://www.footballdb.com/statistics/nfl/team-stats/defense-scoring/2025/regular-season?sort=deftds" TargetMode="External"/><Relationship Id="rId63" Type="http://schemas.openxmlformats.org/officeDocument/2006/relationships/hyperlink" Target="https://www.footballdb.com/teams/nfl/minnesota-vikings" TargetMode="External"/><Relationship Id="rId68" Type="http://schemas.openxmlformats.org/officeDocument/2006/relationships/hyperlink" Target="https://www.footballdb.com/teams/nfl/buffalo-bills" TargetMode="External"/><Relationship Id="rId84" Type="http://schemas.openxmlformats.org/officeDocument/2006/relationships/hyperlink" Target="https://www.footballdb.com/teams/nfl/tennessee-titans" TargetMode="External"/><Relationship Id="rId16" Type="http://schemas.openxmlformats.org/officeDocument/2006/relationships/hyperlink" Target="https://www.espn.com/nfl/team/_/name/atl/atlanta-falcons" TargetMode="External"/><Relationship Id="rId11" Type="http://schemas.openxmlformats.org/officeDocument/2006/relationships/hyperlink" Target="https://www.espn.com/nfl/team/_/name/jax/jacksonville-jaguars" TargetMode="External"/><Relationship Id="rId32" Type="http://schemas.openxmlformats.org/officeDocument/2006/relationships/hyperlink" Target="https://www.espn.com/nfl/team/_/name/no/new-orleans-saints" TargetMode="External"/><Relationship Id="rId37" Type="http://schemas.openxmlformats.org/officeDocument/2006/relationships/hyperlink" Target="https://www.espn.com/nfl/team/_/name/dal/dallas-cowboys" TargetMode="External"/><Relationship Id="rId53" Type="http://schemas.openxmlformats.org/officeDocument/2006/relationships/hyperlink" Target="https://www.footballdb.com/statistics/nfl/team-stats/defense-scoring/2025/regular-season?sort=kickfgm" TargetMode="External"/><Relationship Id="rId58" Type="http://schemas.openxmlformats.org/officeDocument/2006/relationships/hyperlink" Target="https://www.footballdb.com/teams/nfl/houston-texans" TargetMode="External"/><Relationship Id="rId74" Type="http://schemas.openxmlformats.org/officeDocument/2006/relationships/hyperlink" Target="https://www.footballdb.com/teams/nfl/baltimore-ravens" TargetMode="External"/><Relationship Id="rId79" Type="http://schemas.openxmlformats.org/officeDocument/2006/relationships/hyperlink" Target="https://www.footballdb.com/teams/nfl/chicago-bears" TargetMode="External"/><Relationship Id="rId5" Type="http://schemas.openxmlformats.org/officeDocument/2006/relationships/hyperlink" Target="https://www.espn.com/nfl/stats/team/_/view/turnovers/table/miscellaneous/sort/totalTakeaways/dir/desc" TargetMode="External"/><Relationship Id="rId19" Type="http://schemas.openxmlformats.org/officeDocument/2006/relationships/hyperlink" Target="https://www.espn.com/nfl/team/_/name/lac/los-angeles-chargers" TargetMode="External"/><Relationship Id="rId14" Type="http://schemas.openxmlformats.org/officeDocument/2006/relationships/hyperlink" Target="https://www.espn.com/nfl/team/_/name/tb/tampa-bay-buccaneers" TargetMode="External"/><Relationship Id="rId22" Type="http://schemas.openxmlformats.org/officeDocument/2006/relationships/hyperlink" Target="https://www.espn.com/nfl/team/_/name/kc/kansas-city-chiefs" TargetMode="External"/><Relationship Id="rId27" Type="http://schemas.openxmlformats.org/officeDocument/2006/relationships/hyperlink" Target="https://www.espn.com/nfl/team/_/name/bal/baltimore-ravens" TargetMode="External"/><Relationship Id="rId30" Type="http://schemas.openxmlformats.org/officeDocument/2006/relationships/hyperlink" Target="https://www.espn.com/nfl/team/_/name/sea/seattle-seahawks" TargetMode="External"/><Relationship Id="rId35" Type="http://schemas.openxmlformats.org/officeDocument/2006/relationships/hyperlink" Target="https://www.espn.com/nfl/team/_/name/cle/cleveland-browns" TargetMode="External"/><Relationship Id="rId43" Type="http://schemas.openxmlformats.org/officeDocument/2006/relationships/hyperlink" Target="https://www.footballdb.com/statistics/nfl/team-stats/defense-scoring/2025/regular-season?sort=rushtds" TargetMode="External"/><Relationship Id="rId48" Type="http://schemas.openxmlformats.org/officeDocument/2006/relationships/hyperlink" Target="https://www.footballdb.com/statistics/nfl/team-stats/defense-scoring/2025/regular-season?sort=fumtds" TargetMode="External"/><Relationship Id="rId56" Type="http://schemas.openxmlformats.org/officeDocument/2006/relationships/hyperlink" Target="https://www.footballdb.com/statistics/nfl/team-stats/defense-scoring/2025/regular-season?sort=totpts" TargetMode="External"/><Relationship Id="rId64" Type="http://schemas.openxmlformats.org/officeDocument/2006/relationships/hyperlink" Target="https://www.footballdb.com/teams/nfl/jacksonville-jaguars" TargetMode="External"/><Relationship Id="rId69" Type="http://schemas.openxmlformats.org/officeDocument/2006/relationships/hyperlink" Target="https://www.footballdb.com/teams/nfl/san-francisco-49ers" TargetMode="External"/><Relationship Id="rId77" Type="http://schemas.openxmlformats.org/officeDocument/2006/relationships/hyperlink" Target="https://www.footballdb.com/teams/nfl/indianapolis-colts" TargetMode="External"/><Relationship Id="rId8" Type="http://schemas.openxmlformats.org/officeDocument/2006/relationships/hyperlink" Target="https://www.espn.com/nfl/stats/team/_/view/turnovers/table/miscellaneous/sort/totalGiveaways/dir/asc" TargetMode="External"/><Relationship Id="rId51" Type="http://schemas.openxmlformats.org/officeDocument/2006/relationships/hyperlink" Target="https://www.footballdb.com/statistics/nfl/team-stats/defense-scoring/2025/regular-season?sort=nrtds" TargetMode="External"/><Relationship Id="rId72" Type="http://schemas.openxmlformats.org/officeDocument/2006/relationships/hyperlink" Target="https://www.footballdb.com/teams/nfl/new-orleans-saints" TargetMode="External"/><Relationship Id="rId80" Type="http://schemas.openxmlformats.org/officeDocument/2006/relationships/hyperlink" Target="https://www.footballdb.com/teams/nfl/miami-dolphins" TargetMode="External"/><Relationship Id="rId85" Type="http://schemas.openxmlformats.org/officeDocument/2006/relationships/hyperlink" Target="https://www.footballdb.com/teams/nfl/arizona-cardinals" TargetMode="External"/><Relationship Id="rId3" Type="http://schemas.openxmlformats.org/officeDocument/2006/relationships/hyperlink" Target="https://www.espn.com/nfl/stats/team/_/view/turnovers/split/opponent/table/passing/sort/interceptions/dir/desc" TargetMode="External"/><Relationship Id="rId12" Type="http://schemas.openxmlformats.org/officeDocument/2006/relationships/hyperlink" Target="https://www.espn.com/nfl/team/_/name/pit/pittsburgh-steelers" TargetMode="External"/><Relationship Id="rId17" Type="http://schemas.openxmlformats.org/officeDocument/2006/relationships/hyperlink" Target="https://www.espn.com/nfl/team/_/name/det/detroit-lions" TargetMode="External"/><Relationship Id="rId25" Type="http://schemas.openxmlformats.org/officeDocument/2006/relationships/hyperlink" Target="https://www.espn.com/nfl/team/_/name/ind/indianapolis-colts" TargetMode="External"/><Relationship Id="rId33" Type="http://schemas.openxmlformats.org/officeDocument/2006/relationships/hyperlink" Target="https://www.espn.com/nfl/team/_/name/ten/tennessee-titans" TargetMode="External"/><Relationship Id="rId38" Type="http://schemas.openxmlformats.org/officeDocument/2006/relationships/hyperlink" Target="https://www.espn.com/nfl/team/_/name/min/minnesota-vikings" TargetMode="External"/><Relationship Id="rId46" Type="http://schemas.openxmlformats.org/officeDocument/2006/relationships/hyperlink" Target="https://www.footballdb.com/statistics/nfl/team-stats/defense-scoring/2025/regular-season?sort=prtds" TargetMode="External"/><Relationship Id="rId59" Type="http://schemas.openxmlformats.org/officeDocument/2006/relationships/hyperlink" Target="https://www.footballdb.com/teams/nfl/denver-broncos" TargetMode="External"/><Relationship Id="rId67" Type="http://schemas.openxmlformats.org/officeDocument/2006/relationships/hyperlink" Target="https://www.footballdb.com/teams/nfl/green-bay-packers" TargetMode="External"/><Relationship Id="rId20" Type="http://schemas.openxmlformats.org/officeDocument/2006/relationships/hyperlink" Target="https://www.espn.com/nfl/team/_/name/buf/buffalo-bills" TargetMode="External"/><Relationship Id="rId41" Type="http://schemas.openxmlformats.org/officeDocument/2006/relationships/hyperlink" Target="https://www.footballdb.com/statistics/nfl/team-stats/defense-scoring/2025/regular-season?sort=teamname" TargetMode="External"/><Relationship Id="rId54" Type="http://schemas.openxmlformats.org/officeDocument/2006/relationships/hyperlink" Target="https://www.footballdb.com/statistics/nfl/team-stats/defense-scoring/2025/regular-season?sort=tot2pt" TargetMode="External"/><Relationship Id="rId62" Type="http://schemas.openxmlformats.org/officeDocument/2006/relationships/hyperlink" Target="https://www.footballdb.com/teams/nfl/kansas-city-chiefs" TargetMode="External"/><Relationship Id="rId70" Type="http://schemas.openxmlformats.org/officeDocument/2006/relationships/hyperlink" Target="https://www.footballdb.com/teams/nfl/cleveland-browns" TargetMode="External"/><Relationship Id="rId75" Type="http://schemas.openxmlformats.org/officeDocument/2006/relationships/hyperlink" Target="https://www.footballdb.com/teams/nfl/atlanta-falcons" TargetMode="External"/><Relationship Id="rId83" Type="http://schemas.openxmlformats.org/officeDocument/2006/relationships/hyperlink" Target="https://www.footballdb.com/teams/nfl/washington-commanders" TargetMode="External"/><Relationship Id="rId88" Type="http://schemas.openxmlformats.org/officeDocument/2006/relationships/hyperlink" Target="https://www.footballdb.com/teams/nfl/dallas-cowboys" TargetMode="External"/><Relationship Id="rId1" Type="http://schemas.openxmlformats.org/officeDocument/2006/relationships/hyperlink" Target="https://www.espn.com/nfl/stats/team/_/view/turnovers/table/general/sort/gamesPlayed/dir/desc" TargetMode="External"/><Relationship Id="rId6" Type="http://schemas.openxmlformats.org/officeDocument/2006/relationships/hyperlink" Target="https://www.espn.com/nfl/stats/team/_/view/turnovers/table/passing/sort/interceptions/dir/asc" TargetMode="External"/><Relationship Id="rId15" Type="http://schemas.openxmlformats.org/officeDocument/2006/relationships/hyperlink" Target="https://www.espn.com/nfl/team/_/name/phi/philadelphia-eagles" TargetMode="External"/><Relationship Id="rId23" Type="http://schemas.openxmlformats.org/officeDocument/2006/relationships/hyperlink" Target="https://www.espn.com/nfl/team/_/name/ari/arizona-cardinals" TargetMode="External"/><Relationship Id="rId28" Type="http://schemas.openxmlformats.org/officeDocument/2006/relationships/hyperlink" Target="https://www.espn.com/nfl/team/_/name/cin/cincinnati-bengals" TargetMode="External"/><Relationship Id="rId36" Type="http://schemas.openxmlformats.org/officeDocument/2006/relationships/hyperlink" Target="https://www.espn.com/nfl/team/_/name/lv/las-vegas-raiders" TargetMode="External"/><Relationship Id="rId49" Type="http://schemas.openxmlformats.org/officeDocument/2006/relationships/hyperlink" Target="https://www.footballdb.com/statistics/nfl/team-stats/defense-scoring/2025/regular-season?sort=bktds" TargetMode="External"/><Relationship Id="rId57" Type="http://schemas.openxmlformats.org/officeDocument/2006/relationships/hyperlink" Target="https://www.footballdb.com/teams/nfl/seattle-seahawks" TargetMode="External"/><Relationship Id="rId10" Type="http://schemas.openxmlformats.org/officeDocument/2006/relationships/hyperlink" Target="https://www.espn.com/nfl/team/_/name/hou/houston-texans" TargetMode="External"/><Relationship Id="rId31" Type="http://schemas.openxmlformats.org/officeDocument/2006/relationships/hyperlink" Target="https://www.espn.com/nfl/team/_/name/mia/miami-dolphins" TargetMode="External"/><Relationship Id="rId44" Type="http://schemas.openxmlformats.org/officeDocument/2006/relationships/hyperlink" Target="https://www.footballdb.com/statistics/nfl/team-stats/defense-scoring/2025/regular-season?sort=passtds" TargetMode="External"/><Relationship Id="rId52" Type="http://schemas.openxmlformats.org/officeDocument/2006/relationships/hyperlink" Target="https://www.footballdb.com/statistics/nfl/team-stats/defense-scoring/2025/regular-season?sort=kickxpm" TargetMode="External"/><Relationship Id="rId60" Type="http://schemas.openxmlformats.org/officeDocument/2006/relationships/hyperlink" Target="https://www.footballdb.com/teams/nfl/new-england-patriots" TargetMode="External"/><Relationship Id="rId65" Type="http://schemas.openxmlformats.org/officeDocument/2006/relationships/hyperlink" Target="https://www.footballdb.com/teams/nfl/los-angeles-chargers" TargetMode="External"/><Relationship Id="rId73" Type="http://schemas.openxmlformats.org/officeDocument/2006/relationships/hyperlink" Target="https://www.footballdb.com/teams/nfl/pittsburgh-steelers" TargetMode="External"/><Relationship Id="rId78" Type="http://schemas.openxmlformats.org/officeDocument/2006/relationships/hyperlink" Target="https://www.footballdb.com/teams/nfl/detroit-lions" TargetMode="External"/><Relationship Id="rId81" Type="http://schemas.openxmlformats.org/officeDocument/2006/relationships/hyperlink" Target="https://www.footballdb.com/teams/nfl/las-vegas-raiders" TargetMode="External"/><Relationship Id="rId86" Type="http://schemas.openxmlformats.org/officeDocument/2006/relationships/hyperlink" Target="https://www.footballdb.com/teams/nfl/cincinnati-bengals" TargetMode="External"/><Relationship Id="rId4" Type="http://schemas.openxmlformats.org/officeDocument/2006/relationships/hyperlink" Target="https://www.espn.com/nfl/stats/team/_/view/turnovers/table/general/sort/fumblesRecovered/dir/desc" TargetMode="External"/><Relationship Id="rId9" Type="http://schemas.openxmlformats.org/officeDocument/2006/relationships/hyperlink" Target="https://www.espn.com/nfl/team/_/name/chi/chicago-bears" TargetMode="External"/><Relationship Id="rId13" Type="http://schemas.openxmlformats.org/officeDocument/2006/relationships/hyperlink" Target="https://www.espn.com/nfl/team/_/name/lar/los-angeles-rams" TargetMode="External"/><Relationship Id="rId18" Type="http://schemas.openxmlformats.org/officeDocument/2006/relationships/hyperlink" Target="https://www.espn.com/nfl/team/_/name/ne/new-england-patriots" TargetMode="External"/><Relationship Id="rId39" Type="http://schemas.openxmlformats.org/officeDocument/2006/relationships/hyperlink" Target="https://www.espn.com/nfl/team/_/name/wsh/washington-commanders" TargetMode="External"/><Relationship Id="rId34" Type="http://schemas.openxmlformats.org/officeDocument/2006/relationships/hyperlink" Target="https://www.espn.com/nfl/team/_/name/sf/san-francisco-49ers" TargetMode="External"/><Relationship Id="rId50" Type="http://schemas.openxmlformats.org/officeDocument/2006/relationships/hyperlink" Target="https://www.footballdb.com/statistics/nfl/team-stats/defense-scoring/2025/regular-season?sort=bptds" TargetMode="External"/><Relationship Id="rId55" Type="http://schemas.openxmlformats.org/officeDocument/2006/relationships/hyperlink" Target="https://www.footballdb.com/statistics/nfl/team-stats/defense-scoring/2025/regular-season?sort=safety" TargetMode="External"/><Relationship Id="rId76" Type="http://schemas.openxmlformats.org/officeDocument/2006/relationships/hyperlink" Target="https://www.footballdb.com/teams/nfl/tampa-bay-buccaneers" TargetMode="External"/><Relationship Id="rId7" Type="http://schemas.openxmlformats.org/officeDocument/2006/relationships/hyperlink" Target="https://www.espn.com/nfl/stats/team/_/view/turnovers/table/general/sort/fumblesLost/dir/asc" TargetMode="External"/><Relationship Id="rId71" Type="http://schemas.openxmlformats.org/officeDocument/2006/relationships/hyperlink" Target="https://www.footballdb.com/teams/nfl/carolina-panthers" TargetMode="External"/><Relationship Id="rId2" Type="http://schemas.openxmlformats.org/officeDocument/2006/relationships/hyperlink" Target="https://www.espn.com/nfl/stats/team/_/view/turnovers/table/miscellaneous/sort/turnOverDifferential/dir/asc" TargetMode="External"/><Relationship Id="rId29" Type="http://schemas.openxmlformats.org/officeDocument/2006/relationships/hyperlink" Target="https://www.espn.com/nfl/team/_/name/den/denver-broncos" TargetMode="External"/><Relationship Id="rId24" Type="http://schemas.openxmlformats.org/officeDocument/2006/relationships/hyperlink" Target="https://www.espn.com/nfl/team/_/name/car/carolina-panthers" TargetMode="External"/><Relationship Id="rId40" Type="http://schemas.openxmlformats.org/officeDocument/2006/relationships/hyperlink" Target="https://www.espn.com/nfl/team/_/name/nyj/new-york-jets" TargetMode="External"/><Relationship Id="rId45" Type="http://schemas.openxmlformats.org/officeDocument/2006/relationships/hyperlink" Target="https://www.footballdb.com/statistics/nfl/team-stats/defense-scoring/2025/regular-season?sort=krtds" TargetMode="External"/><Relationship Id="rId66" Type="http://schemas.openxmlformats.org/officeDocument/2006/relationships/hyperlink" Target="https://www.footballdb.com/teams/nfl/los-angeles-rams" TargetMode="External"/><Relationship Id="rId87" Type="http://schemas.openxmlformats.org/officeDocument/2006/relationships/hyperlink" Target="https://www.footballdb.com/teams/nfl/new-york-jets" TargetMode="External"/><Relationship Id="rId61" Type="http://schemas.openxmlformats.org/officeDocument/2006/relationships/hyperlink" Target="https://www.footballdb.com/teams/nfl/philadelphia-eagles" TargetMode="External"/><Relationship Id="rId82" Type="http://schemas.openxmlformats.org/officeDocument/2006/relationships/hyperlink" Target="https://www.footballdb.com/teams/nfl/new-york-gia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opLeftCell="K18" workbookViewId="0">
      <selection activeCell="C1" sqref="C1:D1"/>
    </sheetView>
  </sheetViews>
  <sheetFormatPr defaultRowHeight="15"/>
  <cols>
    <col min="1" max="1" width="23.42578125" customWidth="1"/>
    <col min="2" max="2" width="3.7109375" bestFit="1" customWidth="1"/>
    <col min="3" max="3" width="8.140625" bestFit="1" customWidth="1"/>
    <col min="4" max="4" width="6.42578125" bestFit="1" customWidth="1"/>
    <col min="5" max="5" width="21.7109375" bestFit="1" customWidth="1"/>
    <col min="6" max="6" width="6.5703125" bestFit="1" customWidth="1"/>
    <col min="7" max="7" width="25.5703125" bestFit="1" customWidth="1"/>
    <col min="8" max="8" width="6.42578125" bestFit="1" customWidth="1"/>
    <col min="9" max="9" width="6.5703125" bestFit="1" customWidth="1"/>
    <col min="10" max="10" width="6.140625" bestFit="1" customWidth="1"/>
    <col min="11" max="11" width="14.28515625" bestFit="1" customWidth="1"/>
    <col min="12" max="12" width="5.5703125" bestFit="1" customWidth="1"/>
    <col min="13" max="14" width="7.5703125" bestFit="1" customWidth="1"/>
    <col min="15" max="15" width="5.140625" bestFit="1" customWidth="1"/>
    <col min="16" max="16" width="6.42578125" bestFit="1" customWidth="1"/>
    <col min="17" max="18" width="7.85546875" bestFit="1" customWidth="1"/>
    <col min="19" max="19" width="18.7109375" bestFit="1" customWidth="1"/>
    <col min="20" max="20" width="14.5703125" bestFit="1" customWidth="1"/>
    <col min="21" max="21" width="12.7109375" bestFit="1" customWidth="1"/>
    <col min="22" max="22" width="13" bestFit="1" customWidth="1"/>
    <col min="23" max="23" width="11.7109375" bestFit="1" customWidth="1"/>
  </cols>
  <sheetData>
    <row r="1" spans="1:23">
      <c r="A1" s="1" t="s">
        <v>0</v>
      </c>
      <c r="B1" s="2"/>
      <c r="C1" s="111" t="s">
        <v>1</v>
      </c>
      <c r="D1" s="112"/>
      <c r="E1" s="111" t="s">
        <v>2</v>
      </c>
      <c r="F1" s="112"/>
      <c r="G1" s="111" t="s">
        <v>3</v>
      </c>
      <c r="H1" s="112"/>
      <c r="I1" s="111" t="s">
        <v>4</v>
      </c>
      <c r="J1" s="122"/>
      <c r="K1" s="3"/>
      <c r="L1" s="2"/>
      <c r="M1" s="111" t="s">
        <v>1</v>
      </c>
      <c r="N1" s="112"/>
      <c r="O1" s="111" t="s">
        <v>2</v>
      </c>
      <c r="P1" s="112"/>
      <c r="Q1" s="111" t="s">
        <v>3</v>
      </c>
      <c r="R1" s="112"/>
      <c r="S1" s="111" t="s">
        <v>4</v>
      </c>
      <c r="T1" s="112"/>
      <c r="U1" s="113" t="s">
        <v>5</v>
      </c>
      <c r="V1" s="114"/>
      <c r="W1" s="4" t="s">
        <v>6</v>
      </c>
    </row>
    <row r="2" spans="1:23">
      <c r="A2" s="5" t="s">
        <v>7</v>
      </c>
      <c r="B2" s="6" t="s">
        <v>8</v>
      </c>
      <c r="C2" s="7" t="s">
        <v>9</v>
      </c>
      <c r="D2" s="6" t="s">
        <v>10</v>
      </c>
      <c r="E2" s="7" t="s">
        <v>9</v>
      </c>
      <c r="F2" s="6" t="s">
        <v>10</v>
      </c>
      <c r="G2" s="7" t="s">
        <v>9</v>
      </c>
      <c r="H2" s="6" t="s">
        <v>10</v>
      </c>
      <c r="I2" s="7" t="s">
        <v>11</v>
      </c>
      <c r="J2" s="8" t="s">
        <v>12</v>
      </c>
      <c r="K2" s="9" t="s">
        <v>13</v>
      </c>
      <c r="L2" s="6" t="s">
        <v>8</v>
      </c>
      <c r="M2" s="7" t="s">
        <v>9</v>
      </c>
      <c r="N2" s="6" t="s">
        <v>10</v>
      </c>
      <c r="O2" s="7" t="s">
        <v>9</v>
      </c>
      <c r="P2" s="6" t="s">
        <v>10</v>
      </c>
      <c r="Q2" s="7" t="s">
        <v>9</v>
      </c>
      <c r="R2" s="6" t="s">
        <v>10</v>
      </c>
      <c r="S2" s="7" t="s">
        <v>11</v>
      </c>
      <c r="T2" s="6" t="s">
        <v>12</v>
      </c>
      <c r="U2" s="10" t="s">
        <v>14</v>
      </c>
      <c r="V2" s="10" t="s">
        <v>15</v>
      </c>
      <c r="W2" s="11" t="s">
        <v>16</v>
      </c>
    </row>
    <row r="3" spans="1:23">
      <c r="A3" s="12" t="s">
        <v>17</v>
      </c>
      <c r="B3" s="13">
        <v>17</v>
      </c>
      <c r="C3" s="15">
        <v>6709</v>
      </c>
      <c r="D3" s="13">
        <v>394.6</v>
      </c>
      <c r="E3" s="15">
        <v>4557</v>
      </c>
      <c r="F3" s="13">
        <v>268.10000000000002</v>
      </c>
      <c r="G3" s="15">
        <v>2152</v>
      </c>
      <c r="H3" s="13">
        <v>126.6</v>
      </c>
      <c r="I3" s="14">
        <v>518</v>
      </c>
      <c r="J3" s="16">
        <v>30.5</v>
      </c>
      <c r="K3" s="16" t="s">
        <v>13</v>
      </c>
      <c r="L3" s="13">
        <v>17</v>
      </c>
      <c r="M3" s="14">
        <v>5568</v>
      </c>
      <c r="N3" s="13">
        <v>327.5</v>
      </c>
      <c r="O3" s="14">
        <v>3684</v>
      </c>
      <c r="P3" s="13">
        <v>216.7</v>
      </c>
      <c r="Q3" s="14">
        <v>1884</v>
      </c>
      <c r="R3" s="13">
        <v>110.8</v>
      </c>
      <c r="S3" s="14">
        <v>346</v>
      </c>
      <c r="T3" s="13">
        <v>20.399999999999999</v>
      </c>
      <c r="U3" s="17">
        <v>14772.8</v>
      </c>
      <c r="V3" s="17">
        <v>12174.4</v>
      </c>
      <c r="W3" s="18">
        <v>2598.4</v>
      </c>
    </row>
    <row r="4" spans="1:23">
      <c r="A4" s="12" t="s">
        <v>18</v>
      </c>
      <c r="B4" s="13">
        <v>17</v>
      </c>
      <c r="C4" s="15">
        <v>6663</v>
      </c>
      <c r="D4" s="13">
        <v>391.9</v>
      </c>
      <c r="E4" s="15">
        <v>4527</v>
      </c>
      <c r="F4" s="13">
        <v>266.3</v>
      </c>
      <c r="G4" s="15">
        <v>2136</v>
      </c>
      <c r="H4" s="13">
        <v>125.6</v>
      </c>
      <c r="I4" s="14">
        <v>471</v>
      </c>
      <c r="J4" s="16">
        <v>27.7</v>
      </c>
      <c r="K4" s="16" t="s">
        <v>13</v>
      </c>
      <c r="L4" s="13">
        <v>17</v>
      </c>
      <c r="M4" s="14">
        <v>6409</v>
      </c>
      <c r="N4" s="13">
        <v>377</v>
      </c>
      <c r="O4" s="14">
        <v>4276</v>
      </c>
      <c r="P4" s="13">
        <v>251.5</v>
      </c>
      <c r="Q4" s="14">
        <v>2133</v>
      </c>
      <c r="R4" s="13">
        <v>125.5</v>
      </c>
      <c r="S4" s="14">
        <v>511</v>
      </c>
      <c r="T4" s="13">
        <v>30.1</v>
      </c>
      <c r="U4" s="17">
        <v>14625.5</v>
      </c>
      <c r="V4" s="17">
        <v>14130.1</v>
      </c>
      <c r="W4" s="11">
        <v>495.4</v>
      </c>
    </row>
    <row r="5" spans="1:23">
      <c r="A5" s="12" t="s">
        <v>19</v>
      </c>
      <c r="B5" s="13">
        <v>17</v>
      </c>
      <c r="C5" s="15">
        <v>6449</v>
      </c>
      <c r="D5" s="13">
        <v>379.4</v>
      </c>
      <c r="E5" s="15">
        <v>4258</v>
      </c>
      <c r="F5" s="13">
        <v>250.5</v>
      </c>
      <c r="G5" s="15">
        <v>2191</v>
      </c>
      <c r="H5" s="13">
        <v>128.9</v>
      </c>
      <c r="I5" s="14">
        <v>490</v>
      </c>
      <c r="J5" s="16">
        <v>28.8</v>
      </c>
      <c r="K5" s="16" t="s">
        <v>13</v>
      </c>
      <c r="L5" s="13">
        <v>17</v>
      </c>
      <c r="M5" s="14">
        <v>5019</v>
      </c>
      <c r="N5" s="13">
        <v>295.2</v>
      </c>
      <c r="O5" s="14">
        <v>3290</v>
      </c>
      <c r="P5" s="13">
        <v>193.5</v>
      </c>
      <c r="Q5" s="14">
        <v>1729</v>
      </c>
      <c r="R5" s="13">
        <v>101.7</v>
      </c>
      <c r="S5" s="14">
        <v>320</v>
      </c>
      <c r="T5" s="13">
        <v>18.8</v>
      </c>
      <c r="U5" s="17">
        <v>14192.6</v>
      </c>
      <c r="V5" s="17">
        <v>10984.2</v>
      </c>
      <c r="W5" s="18">
        <v>3208.4</v>
      </c>
    </row>
    <row r="6" spans="1:23">
      <c r="A6" s="12" t="s">
        <v>20</v>
      </c>
      <c r="B6" s="13">
        <v>17</v>
      </c>
      <c r="C6" s="15">
        <v>6397</v>
      </c>
      <c r="D6" s="13">
        <v>376.3</v>
      </c>
      <c r="E6" s="15">
        <v>3683</v>
      </c>
      <c r="F6" s="13">
        <v>216.6</v>
      </c>
      <c r="G6" s="15">
        <v>2714</v>
      </c>
      <c r="H6" s="13">
        <v>159.6</v>
      </c>
      <c r="I6" s="14">
        <v>481</v>
      </c>
      <c r="J6" s="16">
        <v>28.3</v>
      </c>
      <c r="K6" s="16" t="s">
        <v>13</v>
      </c>
      <c r="L6" s="13">
        <v>17</v>
      </c>
      <c r="M6" s="14">
        <v>4983</v>
      </c>
      <c r="N6" s="13">
        <v>293.10000000000002</v>
      </c>
      <c r="O6" s="14">
        <v>2668</v>
      </c>
      <c r="P6" s="13">
        <v>156.9</v>
      </c>
      <c r="Q6" s="14">
        <v>2315</v>
      </c>
      <c r="R6" s="13">
        <v>136.19999999999999</v>
      </c>
      <c r="S6" s="14">
        <v>365</v>
      </c>
      <c r="T6" s="13">
        <v>21.5</v>
      </c>
      <c r="U6" s="17">
        <v>14072.8</v>
      </c>
      <c r="V6" s="17">
        <v>10955.7</v>
      </c>
      <c r="W6" s="18">
        <v>3117.1</v>
      </c>
    </row>
    <row r="7" spans="1:23">
      <c r="A7" s="12" t="s">
        <v>21</v>
      </c>
      <c r="B7" s="13">
        <v>17</v>
      </c>
      <c r="C7" s="15">
        <v>6344</v>
      </c>
      <c r="D7" s="13">
        <v>373.2</v>
      </c>
      <c r="E7" s="15">
        <v>4303</v>
      </c>
      <c r="F7" s="13">
        <v>253.1</v>
      </c>
      <c r="G7" s="15">
        <v>2041</v>
      </c>
      <c r="H7" s="13">
        <v>120.1</v>
      </c>
      <c r="I7" s="14">
        <v>481</v>
      </c>
      <c r="J7" s="16">
        <v>28.3</v>
      </c>
      <c r="K7" s="16" t="s">
        <v>13</v>
      </c>
      <c r="L7" s="13">
        <v>17</v>
      </c>
      <c r="M7" s="14">
        <v>5642</v>
      </c>
      <c r="N7" s="13">
        <v>331.9</v>
      </c>
      <c r="O7" s="14">
        <v>3695</v>
      </c>
      <c r="P7" s="13">
        <v>217.4</v>
      </c>
      <c r="Q7" s="14">
        <v>1947</v>
      </c>
      <c r="R7" s="13">
        <v>114.5</v>
      </c>
      <c r="S7" s="14">
        <v>413</v>
      </c>
      <c r="T7" s="13">
        <v>24.3</v>
      </c>
      <c r="U7" s="17">
        <v>13960.7</v>
      </c>
      <c r="V7" s="17">
        <v>12402.1</v>
      </c>
      <c r="W7" s="18">
        <v>1558.6</v>
      </c>
    </row>
    <row r="8" spans="1:23">
      <c r="A8" s="12" t="s">
        <v>22</v>
      </c>
      <c r="B8" s="13">
        <v>17</v>
      </c>
      <c r="C8" s="15">
        <v>6277</v>
      </c>
      <c r="D8" s="13">
        <v>369.2</v>
      </c>
      <c r="E8" s="15">
        <v>3826</v>
      </c>
      <c r="F8" s="13">
        <v>225.1</v>
      </c>
      <c r="G8" s="15">
        <v>2456</v>
      </c>
      <c r="H8" s="13">
        <v>144.5</v>
      </c>
      <c r="I8" s="14">
        <v>441</v>
      </c>
      <c r="J8" s="16">
        <v>25.9</v>
      </c>
      <c r="K8" s="16" t="s">
        <v>13</v>
      </c>
      <c r="L8" s="13">
        <v>17</v>
      </c>
      <c r="M8" s="14">
        <v>6150</v>
      </c>
      <c r="N8" s="13">
        <v>361.8</v>
      </c>
      <c r="O8" s="14">
        <v>3863</v>
      </c>
      <c r="P8" s="13">
        <v>227.2</v>
      </c>
      <c r="Q8" s="14">
        <v>2287</v>
      </c>
      <c r="R8" s="13">
        <v>134.5</v>
      </c>
      <c r="S8" s="14">
        <v>415</v>
      </c>
      <c r="T8" s="13">
        <v>24.4</v>
      </c>
      <c r="U8" s="17">
        <v>13781.7</v>
      </c>
      <c r="V8" s="17">
        <v>13479.9</v>
      </c>
      <c r="W8" s="11">
        <v>301.8</v>
      </c>
    </row>
    <row r="9" spans="1:23">
      <c r="A9" s="12" t="s">
        <v>23</v>
      </c>
      <c r="B9" s="13">
        <v>17</v>
      </c>
      <c r="C9" s="15">
        <v>5974</v>
      </c>
      <c r="D9" s="13">
        <v>351.4</v>
      </c>
      <c r="E9" s="15">
        <v>4157</v>
      </c>
      <c r="F9" s="13">
        <v>244.5</v>
      </c>
      <c r="G9" s="15">
        <v>1817</v>
      </c>
      <c r="H9" s="13">
        <v>106.9</v>
      </c>
      <c r="I9" s="14">
        <v>437</v>
      </c>
      <c r="J9" s="16">
        <v>25.7</v>
      </c>
      <c r="K9" s="16" t="s">
        <v>13</v>
      </c>
      <c r="L9" s="13">
        <v>17</v>
      </c>
      <c r="M9" s="14">
        <v>5784</v>
      </c>
      <c r="N9" s="13">
        <v>340.2</v>
      </c>
      <c r="O9" s="14">
        <v>3951</v>
      </c>
      <c r="P9" s="13">
        <v>232.4</v>
      </c>
      <c r="Q9" s="14">
        <v>1833</v>
      </c>
      <c r="R9" s="13">
        <v>107.8</v>
      </c>
      <c r="S9" s="14">
        <v>371</v>
      </c>
      <c r="T9" s="13">
        <v>21.8</v>
      </c>
      <c r="U9" s="17">
        <v>13130.5</v>
      </c>
      <c r="V9" s="17">
        <v>12658.2</v>
      </c>
      <c r="W9" s="11">
        <v>472.3</v>
      </c>
    </row>
    <row r="10" spans="1:23">
      <c r="A10" s="12" t="s">
        <v>24</v>
      </c>
      <c r="B10" s="13">
        <v>17</v>
      </c>
      <c r="C10" s="15">
        <v>5973</v>
      </c>
      <c r="D10" s="13">
        <v>351.4</v>
      </c>
      <c r="E10" s="15">
        <v>3877</v>
      </c>
      <c r="F10" s="13">
        <v>228.1</v>
      </c>
      <c r="G10" s="15">
        <v>2096</v>
      </c>
      <c r="H10" s="13">
        <v>123.3</v>
      </c>
      <c r="I10" s="14">
        <v>483</v>
      </c>
      <c r="J10" s="16">
        <v>28.4</v>
      </c>
      <c r="K10" s="16" t="s">
        <v>13</v>
      </c>
      <c r="L10" s="13">
        <v>17</v>
      </c>
      <c r="M10" s="14">
        <v>4855</v>
      </c>
      <c r="N10" s="13">
        <v>285.60000000000002</v>
      </c>
      <c r="O10" s="14">
        <v>3297</v>
      </c>
      <c r="P10" s="13">
        <v>193.9</v>
      </c>
      <c r="Q10" s="14">
        <v>1563</v>
      </c>
      <c r="R10" s="13">
        <v>91.9</v>
      </c>
      <c r="S10" s="14">
        <v>292</v>
      </c>
      <c r="T10" s="13">
        <v>17.2</v>
      </c>
      <c r="U10" s="17">
        <v>13177.2</v>
      </c>
      <c r="V10" s="17">
        <v>10612.6</v>
      </c>
      <c r="W10" s="18">
        <v>2564.6</v>
      </c>
    </row>
    <row r="11" spans="1:23">
      <c r="A11" s="12" t="s">
        <v>25</v>
      </c>
      <c r="B11" s="13">
        <v>17</v>
      </c>
      <c r="C11" s="15">
        <v>5875</v>
      </c>
      <c r="D11" s="13">
        <v>345.6</v>
      </c>
      <c r="E11" s="15">
        <v>3873</v>
      </c>
      <c r="F11" s="13">
        <v>227.8</v>
      </c>
      <c r="G11" s="15">
        <v>2007</v>
      </c>
      <c r="H11" s="13">
        <v>118.1</v>
      </c>
      <c r="I11" s="14">
        <v>466</v>
      </c>
      <c r="J11" s="16">
        <v>27.4</v>
      </c>
      <c r="K11" s="16" t="s">
        <v>13</v>
      </c>
      <c r="L11" s="13">
        <v>17</v>
      </c>
      <c r="M11" s="14">
        <v>5947</v>
      </c>
      <c r="N11" s="13">
        <v>349.8</v>
      </c>
      <c r="O11" s="14">
        <v>4215</v>
      </c>
      <c r="P11" s="13">
        <v>247.9</v>
      </c>
      <c r="Q11" s="14">
        <v>1732</v>
      </c>
      <c r="R11" s="13">
        <v>101.9</v>
      </c>
      <c r="S11" s="14">
        <v>412</v>
      </c>
      <c r="T11" s="13">
        <v>24.2</v>
      </c>
      <c r="U11" s="17">
        <v>12956.9</v>
      </c>
      <c r="V11" s="17">
        <v>13046.8</v>
      </c>
      <c r="W11" s="11">
        <v>-89.9</v>
      </c>
    </row>
    <row r="12" spans="1:23">
      <c r="A12" s="12" t="s">
        <v>26</v>
      </c>
      <c r="B12" s="13">
        <v>17</v>
      </c>
      <c r="C12" s="15">
        <v>5825</v>
      </c>
      <c r="D12" s="13">
        <v>342.6</v>
      </c>
      <c r="E12" s="15">
        <v>3807</v>
      </c>
      <c r="F12" s="13">
        <v>223.9</v>
      </c>
      <c r="G12" s="15">
        <v>2018</v>
      </c>
      <c r="H12" s="13">
        <v>118.7</v>
      </c>
      <c r="I12" s="14">
        <v>401</v>
      </c>
      <c r="J12" s="16">
        <v>23.6</v>
      </c>
      <c r="K12" s="16" t="s">
        <v>13</v>
      </c>
      <c r="L12" s="13">
        <v>17</v>
      </c>
      <c r="M12" s="14">
        <v>4730</v>
      </c>
      <c r="N12" s="13">
        <v>278.2</v>
      </c>
      <c r="O12" s="14">
        <v>3182</v>
      </c>
      <c r="P12" s="13">
        <v>187.2</v>
      </c>
      <c r="Q12" s="14">
        <v>1548</v>
      </c>
      <c r="R12" s="13">
        <v>91.1</v>
      </c>
      <c r="S12" s="14">
        <v>311</v>
      </c>
      <c r="T12" s="13">
        <v>18.3</v>
      </c>
      <c r="U12" s="17">
        <v>12776.8</v>
      </c>
      <c r="V12" s="17">
        <v>10362.799999999999</v>
      </c>
      <c r="W12" s="18">
        <v>2414</v>
      </c>
    </row>
    <row r="13" spans="1:23">
      <c r="A13" s="12" t="s">
        <v>27</v>
      </c>
      <c r="B13" s="13">
        <v>17</v>
      </c>
      <c r="C13" s="15">
        <v>5735</v>
      </c>
      <c r="D13" s="13">
        <v>337.4</v>
      </c>
      <c r="E13" s="15">
        <v>3779</v>
      </c>
      <c r="F13" s="13">
        <v>222.3</v>
      </c>
      <c r="G13" s="15">
        <v>1956</v>
      </c>
      <c r="H13" s="13">
        <v>115.1</v>
      </c>
      <c r="I13" s="14">
        <v>474</v>
      </c>
      <c r="J13" s="16">
        <v>27.9</v>
      </c>
      <c r="K13" s="16" t="s">
        <v>13</v>
      </c>
      <c r="L13" s="13">
        <v>17</v>
      </c>
      <c r="M13" s="14">
        <v>5162</v>
      </c>
      <c r="N13" s="13">
        <v>303.60000000000002</v>
      </c>
      <c r="O13" s="14">
        <v>3707</v>
      </c>
      <c r="P13" s="13">
        <v>218.1</v>
      </c>
      <c r="Q13" s="14">
        <v>1455</v>
      </c>
      <c r="R13" s="13">
        <v>85.6</v>
      </c>
      <c r="S13" s="14">
        <v>336</v>
      </c>
      <c r="T13" s="13">
        <v>19.8</v>
      </c>
      <c r="U13" s="17">
        <v>12663.7</v>
      </c>
      <c r="V13" s="17">
        <v>11304.1</v>
      </c>
      <c r="W13" s="18">
        <v>1359.6</v>
      </c>
    </row>
    <row r="14" spans="1:23">
      <c r="A14" s="12" t="s">
        <v>28</v>
      </c>
      <c r="B14" s="13">
        <v>17</v>
      </c>
      <c r="C14" s="15">
        <v>5675</v>
      </c>
      <c r="D14" s="13">
        <v>333.8</v>
      </c>
      <c r="E14" s="15">
        <v>3608</v>
      </c>
      <c r="F14" s="13">
        <v>212.2</v>
      </c>
      <c r="G14" s="15">
        <v>2067</v>
      </c>
      <c r="H14" s="13">
        <v>121.6</v>
      </c>
      <c r="I14" s="14">
        <v>368</v>
      </c>
      <c r="J14" s="16">
        <v>21.6</v>
      </c>
      <c r="K14" s="16" t="s">
        <v>13</v>
      </c>
      <c r="L14" s="13">
        <v>17</v>
      </c>
      <c r="M14" s="14">
        <v>4849</v>
      </c>
      <c r="N14" s="13">
        <v>285.2</v>
      </c>
      <c r="O14" s="14">
        <v>3058</v>
      </c>
      <c r="P14" s="13">
        <v>179.9</v>
      </c>
      <c r="Q14" s="14">
        <v>1791</v>
      </c>
      <c r="R14" s="13">
        <v>105.4</v>
      </c>
      <c r="S14" s="14">
        <v>340</v>
      </c>
      <c r="T14" s="13">
        <v>20</v>
      </c>
      <c r="U14" s="17">
        <v>12424.2</v>
      </c>
      <c r="V14" s="17">
        <v>10645.5</v>
      </c>
      <c r="W14" s="18">
        <v>1778.7</v>
      </c>
    </row>
    <row r="15" spans="1:23">
      <c r="A15" s="12" t="s">
        <v>29</v>
      </c>
      <c r="B15" s="13">
        <v>17</v>
      </c>
      <c r="C15" s="15">
        <v>5669</v>
      </c>
      <c r="D15" s="13">
        <v>333.5</v>
      </c>
      <c r="E15" s="15">
        <v>3474</v>
      </c>
      <c r="F15" s="13">
        <v>204.4</v>
      </c>
      <c r="G15" s="15">
        <v>2195</v>
      </c>
      <c r="H15" s="13">
        <v>129.1</v>
      </c>
      <c r="I15" s="14">
        <v>381</v>
      </c>
      <c r="J15" s="16">
        <v>22.4</v>
      </c>
      <c r="K15" s="16" t="s">
        <v>13</v>
      </c>
      <c r="L15" s="13">
        <v>17</v>
      </c>
      <c r="M15" s="14">
        <v>6112</v>
      </c>
      <c r="N15" s="13">
        <v>359.5</v>
      </c>
      <c r="O15" s="14">
        <v>3642</v>
      </c>
      <c r="P15" s="13">
        <v>214.2</v>
      </c>
      <c r="Q15" s="14">
        <v>2470</v>
      </c>
      <c r="R15" s="13">
        <v>145.30000000000001</v>
      </c>
      <c r="S15" s="14">
        <v>439</v>
      </c>
      <c r="T15" s="13">
        <v>25.8</v>
      </c>
      <c r="U15" s="17">
        <v>12425.4</v>
      </c>
      <c r="V15" s="17">
        <v>13424.8</v>
      </c>
      <c r="W15" s="11">
        <v>-999.4</v>
      </c>
    </row>
    <row r="16" spans="1:23">
      <c r="A16" s="12" t="s">
        <v>30</v>
      </c>
      <c r="B16" s="13">
        <v>17</v>
      </c>
      <c r="C16" s="15">
        <v>5661</v>
      </c>
      <c r="D16" s="13">
        <v>333</v>
      </c>
      <c r="E16" s="15">
        <v>3523</v>
      </c>
      <c r="F16" s="13">
        <v>207.2</v>
      </c>
      <c r="G16" s="15">
        <v>2138</v>
      </c>
      <c r="H16" s="13">
        <v>125.8</v>
      </c>
      <c r="I16" s="14">
        <v>353</v>
      </c>
      <c r="J16" s="16">
        <v>20.8</v>
      </c>
      <c r="K16" s="16" t="s">
        <v>13</v>
      </c>
      <c r="L16" s="13">
        <v>17</v>
      </c>
      <c r="M16" s="14">
        <v>5553</v>
      </c>
      <c r="N16" s="13">
        <v>326.60000000000002</v>
      </c>
      <c r="O16" s="14">
        <v>3407</v>
      </c>
      <c r="P16" s="13">
        <v>200.4</v>
      </c>
      <c r="Q16" s="14">
        <v>2146</v>
      </c>
      <c r="R16" s="13">
        <v>126.2</v>
      </c>
      <c r="S16" s="14">
        <v>401</v>
      </c>
      <c r="T16" s="13">
        <v>23.6</v>
      </c>
      <c r="U16" s="17">
        <v>12378.8</v>
      </c>
      <c r="V16" s="17">
        <v>12200.8</v>
      </c>
      <c r="W16" s="11">
        <v>178</v>
      </c>
    </row>
    <row r="17" spans="1:23">
      <c r="A17" s="12" t="s">
        <v>31</v>
      </c>
      <c r="B17" s="13">
        <v>17</v>
      </c>
      <c r="C17" s="15">
        <v>5654</v>
      </c>
      <c r="D17" s="13">
        <v>332.6</v>
      </c>
      <c r="E17" s="15">
        <v>3617</v>
      </c>
      <c r="F17" s="13">
        <v>212.8</v>
      </c>
      <c r="G17" s="15">
        <v>2037</v>
      </c>
      <c r="H17" s="13">
        <v>119.8</v>
      </c>
      <c r="I17" s="14">
        <v>391</v>
      </c>
      <c r="J17" s="16">
        <v>23</v>
      </c>
      <c r="K17" s="16" t="s">
        <v>13</v>
      </c>
      <c r="L17" s="13">
        <v>17</v>
      </c>
      <c r="M17" s="14">
        <v>5301</v>
      </c>
      <c r="N17" s="13">
        <v>311.8</v>
      </c>
      <c r="O17" s="14">
        <v>3300</v>
      </c>
      <c r="P17" s="13">
        <v>194.1</v>
      </c>
      <c r="Q17" s="14">
        <v>2001</v>
      </c>
      <c r="R17" s="13">
        <v>117.7</v>
      </c>
      <c r="S17" s="14">
        <v>360</v>
      </c>
      <c r="T17" s="13">
        <v>21.2</v>
      </c>
      <c r="U17" s="17">
        <v>12404.2</v>
      </c>
      <c r="V17" s="17">
        <v>11623.8</v>
      </c>
      <c r="W17" s="11">
        <v>780.4</v>
      </c>
    </row>
    <row r="18" spans="1:23">
      <c r="A18" s="12" t="s">
        <v>32</v>
      </c>
      <c r="B18" s="13">
        <v>17</v>
      </c>
      <c r="C18" s="15">
        <v>5647</v>
      </c>
      <c r="D18" s="13">
        <v>332.2</v>
      </c>
      <c r="E18" s="15">
        <v>2985</v>
      </c>
      <c r="F18" s="13">
        <v>175.6</v>
      </c>
      <c r="G18" s="15">
        <v>2662</v>
      </c>
      <c r="H18" s="13">
        <v>156.6</v>
      </c>
      <c r="I18" s="14">
        <v>424</v>
      </c>
      <c r="J18" s="16">
        <v>24.9</v>
      </c>
      <c r="K18" s="16" t="s">
        <v>13</v>
      </c>
      <c r="L18" s="13">
        <v>17</v>
      </c>
      <c r="M18" s="14">
        <v>6027</v>
      </c>
      <c r="N18" s="13">
        <v>354.5</v>
      </c>
      <c r="O18" s="14">
        <v>4215</v>
      </c>
      <c r="P18" s="13">
        <v>247.9</v>
      </c>
      <c r="Q18" s="14">
        <v>1813</v>
      </c>
      <c r="R18" s="13">
        <v>106.6</v>
      </c>
      <c r="S18" s="14">
        <v>398</v>
      </c>
      <c r="T18" s="13">
        <v>23.4</v>
      </c>
      <c r="U18" s="17">
        <v>12424.3</v>
      </c>
      <c r="V18" s="17">
        <v>13202.4</v>
      </c>
      <c r="W18" s="11">
        <v>-778.1</v>
      </c>
    </row>
    <row r="19" spans="1:23">
      <c r="A19" s="12" t="s">
        <v>33</v>
      </c>
      <c r="B19" s="13">
        <v>17</v>
      </c>
      <c r="C19" s="15">
        <v>5596</v>
      </c>
      <c r="D19" s="13">
        <v>329.2</v>
      </c>
      <c r="E19" s="15">
        <v>4005</v>
      </c>
      <c r="F19" s="13">
        <v>235.6</v>
      </c>
      <c r="G19" s="15">
        <v>1591</v>
      </c>
      <c r="H19" s="13">
        <v>93.6</v>
      </c>
      <c r="I19" s="14">
        <v>414</v>
      </c>
      <c r="J19" s="16">
        <v>24.4</v>
      </c>
      <c r="K19" s="16" t="s">
        <v>13</v>
      </c>
      <c r="L19" s="13">
        <v>17</v>
      </c>
      <c r="M19" s="14">
        <v>6475</v>
      </c>
      <c r="N19" s="13">
        <v>380.9</v>
      </c>
      <c r="O19" s="14">
        <v>3975</v>
      </c>
      <c r="P19" s="13">
        <v>233.8</v>
      </c>
      <c r="Q19" s="14">
        <v>2500</v>
      </c>
      <c r="R19" s="13">
        <v>147.1</v>
      </c>
      <c r="S19" s="14">
        <v>492</v>
      </c>
      <c r="T19" s="13">
        <v>28.9</v>
      </c>
      <c r="U19" s="17">
        <v>12305.8</v>
      </c>
      <c r="V19" s="17">
        <v>14249.7</v>
      </c>
      <c r="W19" s="18">
        <v>-1943.9</v>
      </c>
    </row>
    <row r="20" spans="1:23">
      <c r="A20" s="12" t="s">
        <v>34</v>
      </c>
      <c r="B20" s="13">
        <v>17</v>
      </c>
      <c r="C20" s="15">
        <v>5559</v>
      </c>
      <c r="D20" s="13">
        <v>327</v>
      </c>
      <c r="E20" s="15">
        <v>3707</v>
      </c>
      <c r="F20" s="13">
        <v>218.1</v>
      </c>
      <c r="G20" s="15">
        <v>1852</v>
      </c>
      <c r="H20" s="13">
        <v>108.9</v>
      </c>
      <c r="I20" s="14">
        <v>404</v>
      </c>
      <c r="J20" s="16">
        <v>23.8</v>
      </c>
      <c r="K20" s="16" t="s">
        <v>13</v>
      </c>
      <c r="L20" s="13">
        <v>17</v>
      </c>
      <c r="M20" s="14">
        <v>4713</v>
      </c>
      <c r="N20" s="13">
        <v>277.2</v>
      </c>
      <c r="O20" s="14">
        <v>3120</v>
      </c>
      <c r="P20" s="13">
        <v>183.5</v>
      </c>
      <c r="Q20" s="14">
        <v>1593</v>
      </c>
      <c r="R20" s="13">
        <v>93.7</v>
      </c>
      <c r="S20" s="14">
        <v>295</v>
      </c>
      <c r="T20" s="13">
        <v>17.399999999999999</v>
      </c>
      <c r="U20" s="17">
        <v>12216.8</v>
      </c>
      <c r="V20" s="17">
        <v>10309.799999999999</v>
      </c>
      <c r="W20" s="18">
        <v>1907</v>
      </c>
    </row>
    <row r="21" spans="1:23">
      <c r="A21" s="12" t="s">
        <v>35</v>
      </c>
      <c r="B21" s="13">
        <v>17</v>
      </c>
      <c r="C21" s="15">
        <v>5538</v>
      </c>
      <c r="D21" s="13">
        <v>325.8</v>
      </c>
      <c r="E21" s="15">
        <v>3955</v>
      </c>
      <c r="F21" s="13">
        <v>232.6</v>
      </c>
      <c r="G21" s="15">
        <v>1583</v>
      </c>
      <c r="H21" s="13">
        <v>93.1</v>
      </c>
      <c r="I21" s="14">
        <v>355</v>
      </c>
      <c r="J21" s="16">
        <v>20.9</v>
      </c>
      <c r="K21" s="16" t="s">
        <v>13</v>
      </c>
      <c r="L21" s="13">
        <v>17</v>
      </c>
      <c r="M21" s="14">
        <v>6081</v>
      </c>
      <c r="N21" s="13">
        <v>357.7</v>
      </c>
      <c r="O21" s="14">
        <v>3923</v>
      </c>
      <c r="P21" s="13">
        <v>230.8</v>
      </c>
      <c r="Q21" s="14">
        <v>2158</v>
      </c>
      <c r="R21" s="13">
        <v>126.9</v>
      </c>
      <c r="S21" s="14">
        <v>488</v>
      </c>
      <c r="T21" s="13">
        <v>28.7</v>
      </c>
      <c r="U21" s="17">
        <v>12120.4</v>
      </c>
      <c r="V21" s="17">
        <v>13411.1</v>
      </c>
      <c r="W21" s="18">
        <v>-1290.7</v>
      </c>
    </row>
    <row r="22" spans="1:23">
      <c r="A22" s="12" t="s">
        <v>36</v>
      </c>
      <c r="B22" s="13">
        <v>17</v>
      </c>
      <c r="C22" s="15">
        <v>5451</v>
      </c>
      <c r="D22" s="13">
        <v>320.60000000000002</v>
      </c>
      <c r="E22" s="15">
        <v>3639</v>
      </c>
      <c r="F22" s="13">
        <v>214.1</v>
      </c>
      <c r="G22" s="15">
        <v>1812</v>
      </c>
      <c r="H22" s="13">
        <v>106.6</v>
      </c>
      <c r="I22" s="14">
        <v>362</v>
      </c>
      <c r="J22" s="16">
        <v>21.3</v>
      </c>
      <c r="K22" s="16" t="s">
        <v>13</v>
      </c>
      <c r="L22" s="13">
        <v>17</v>
      </c>
      <c r="M22" s="14">
        <v>5126</v>
      </c>
      <c r="N22" s="13">
        <v>301.5</v>
      </c>
      <c r="O22" s="14">
        <v>3329</v>
      </c>
      <c r="P22" s="13">
        <v>195.8</v>
      </c>
      <c r="Q22" s="14">
        <v>1797</v>
      </c>
      <c r="R22" s="13">
        <v>105.7</v>
      </c>
      <c r="S22" s="14">
        <v>328</v>
      </c>
      <c r="T22" s="13">
        <v>19.3</v>
      </c>
      <c r="U22" s="17">
        <v>11943.6</v>
      </c>
      <c r="V22" s="17">
        <v>11219.3</v>
      </c>
      <c r="W22" s="11">
        <v>724.3</v>
      </c>
    </row>
    <row r="23" spans="1:23">
      <c r="A23" s="12" t="s">
        <v>37</v>
      </c>
      <c r="B23" s="13">
        <v>17</v>
      </c>
      <c r="C23" s="15">
        <v>5447</v>
      </c>
      <c r="D23" s="13">
        <v>320.39999999999998</v>
      </c>
      <c r="E23" s="15">
        <v>3500</v>
      </c>
      <c r="F23" s="13">
        <v>205.9</v>
      </c>
      <c r="G23" s="15">
        <v>1947</v>
      </c>
      <c r="H23" s="13">
        <v>114.5</v>
      </c>
      <c r="I23" s="14">
        <v>380</v>
      </c>
      <c r="J23" s="16">
        <v>22.4</v>
      </c>
      <c r="K23" s="16" t="s">
        <v>13</v>
      </c>
      <c r="L23" s="13">
        <v>17</v>
      </c>
      <c r="M23" s="14">
        <v>5733</v>
      </c>
      <c r="N23" s="13">
        <v>337.2</v>
      </c>
      <c r="O23" s="14">
        <v>4049</v>
      </c>
      <c r="P23" s="13">
        <v>238.2</v>
      </c>
      <c r="Q23" s="14">
        <v>1684</v>
      </c>
      <c r="R23" s="13">
        <v>99.1</v>
      </c>
      <c r="S23" s="14">
        <v>411</v>
      </c>
      <c r="T23" s="13">
        <v>24.2</v>
      </c>
      <c r="U23" s="17">
        <v>11954.2</v>
      </c>
      <c r="V23" s="17">
        <v>12592.7</v>
      </c>
      <c r="W23" s="11">
        <v>-638.5</v>
      </c>
    </row>
    <row r="24" spans="1:23">
      <c r="A24" s="12" t="s">
        <v>38</v>
      </c>
      <c r="B24" s="13">
        <v>17</v>
      </c>
      <c r="C24" s="15">
        <v>5419</v>
      </c>
      <c r="D24" s="13">
        <v>318.8</v>
      </c>
      <c r="E24" s="15">
        <v>3129</v>
      </c>
      <c r="F24" s="13">
        <v>184.1</v>
      </c>
      <c r="G24" s="15">
        <v>2290</v>
      </c>
      <c r="H24" s="13">
        <v>134.69999999999999</v>
      </c>
      <c r="I24" s="14">
        <v>356</v>
      </c>
      <c r="J24" s="16">
        <v>20.9</v>
      </c>
      <c r="K24" s="16" t="s">
        <v>13</v>
      </c>
      <c r="L24" s="13">
        <v>17</v>
      </c>
      <c r="M24" s="14">
        <v>6528</v>
      </c>
      <c r="N24" s="13">
        <v>384</v>
      </c>
      <c r="O24" s="14">
        <v>4122</v>
      </c>
      <c r="P24" s="13">
        <v>242.5</v>
      </c>
      <c r="Q24" s="14">
        <v>2411</v>
      </c>
      <c r="R24" s="13">
        <v>141.80000000000001</v>
      </c>
      <c r="S24" s="14">
        <v>451</v>
      </c>
      <c r="T24" s="13">
        <v>26.5</v>
      </c>
      <c r="U24" s="17">
        <v>11869.5</v>
      </c>
      <c r="V24" s="17">
        <v>14323.8</v>
      </c>
      <c r="W24" s="18">
        <v>-2454.3000000000002</v>
      </c>
    </row>
    <row r="25" spans="1:23">
      <c r="A25" s="12" t="s">
        <v>39</v>
      </c>
      <c r="B25" s="13">
        <v>17</v>
      </c>
      <c r="C25" s="15">
        <v>5331</v>
      </c>
      <c r="D25" s="13">
        <v>313.60000000000002</v>
      </c>
      <c r="E25" s="15">
        <v>3728</v>
      </c>
      <c r="F25" s="13">
        <v>219.3</v>
      </c>
      <c r="G25" s="15">
        <v>1603</v>
      </c>
      <c r="H25" s="13">
        <v>94.3</v>
      </c>
      <c r="I25" s="14">
        <v>306</v>
      </c>
      <c r="J25" s="16">
        <v>18</v>
      </c>
      <c r="K25" s="16" t="s">
        <v>13</v>
      </c>
      <c r="L25" s="13">
        <v>17</v>
      </c>
      <c r="M25" s="14">
        <v>5096</v>
      </c>
      <c r="N25" s="13">
        <v>299.8</v>
      </c>
      <c r="O25" s="14">
        <v>3046</v>
      </c>
      <c r="P25" s="13">
        <v>179.2</v>
      </c>
      <c r="Q25" s="14">
        <v>2050</v>
      </c>
      <c r="R25" s="13">
        <v>120.6</v>
      </c>
      <c r="S25" s="14">
        <v>383</v>
      </c>
      <c r="T25" s="13">
        <v>22.5</v>
      </c>
      <c r="U25" s="17">
        <v>11630.2</v>
      </c>
      <c r="V25" s="17">
        <v>11214.1</v>
      </c>
      <c r="W25" s="11">
        <v>416.1</v>
      </c>
    </row>
    <row r="26" spans="1:23">
      <c r="A26" s="12" t="s">
        <v>40</v>
      </c>
      <c r="B26" s="13">
        <v>17</v>
      </c>
      <c r="C26" s="15">
        <v>5291</v>
      </c>
      <c r="D26" s="13">
        <v>311.2</v>
      </c>
      <c r="E26" s="15">
        <v>3303</v>
      </c>
      <c r="F26" s="13">
        <v>194.3</v>
      </c>
      <c r="G26" s="15">
        <v>1988</v>
      </c>
      <c r="H26" s="13">
        <v>116.9</v>
      </c>
      <c r="I26" s="14">
        <v>379</v>
      </c>
      <c r="J26" s="16">
        <v>22.3</v>
      </c>
      <c r="K26" s="16" t="s">
        <v>13</v>
      </c>
      <c r="L26" s="13">
        <v>17</v>
      </c>
      <c r="M26" s="14">
        <v>5341</v>
      </c>
      <c r="N26" s="13">
        <v>314.2</v>
      </c>
      <c r="O26" s="14">
        <v>3226</v>
      </c>
      <c r="P26" s="13">
        <v>189.8</v>
      </c>
      <c r="Q26" s="14">
        <v>2115</v>
      </c>
      <c r="R26" s="13">
        <v>124.4</v>
      </c>
      <c r="S26" s="14">
        <v>325</v>
      </c>
      <c r="T26" s="13">
        <v>19.100000000000001</v>
      </c>
      <c r="U26" s="17">
        <v>11622.7</v>
      </c>
      <c r="V26" s="17">
        <v>11671.5</v>
      </c>
      <c r="W26" s="11">
        <v>-48.8</v>
      </c>
    </row>
    <row r="27" spans="1:23">
      <c r="A27" s="12" t="s">
        <v>41</v>
      </c>
      <c r="B27" s="13">
        <v>17</v>
      </c>
      <c r="C27" s="15">
        <v>5196</v>
      </c>
      <c r="D27" s="13">
        <v>305.60000000000002</v>
      </c>
      <c r="E27" s="15">
        <v>3440</v>
      </c>
      <c r="F27" s="13">
        <v>202.4</v>
      </c>
      <c r="G27" s="15">
        <v>1756</v>
      </c>
      <c r="H27" s="13">
        <v>103.3</v>
      </c>
      <c r="I27" s="14">
        <v>397</v>
      </c>
      <c r="J27" s="16">
        <v>23.4</v>
      </c>
      <c r="K27" s="16" t="s">
        <v>13</v>
      </c>
      <c r="L27" s="13">
        <v>17</v>
      </c>
      <c r="M27" s="14">
        <v>6068</v>
      </c>
      <c r="N27" s="13">
        <v>356.9</v>
      </c>
      <c r="O27" s="14">
        <v>4146</v>
      </c>
      <c r="P27" s="13">
        <v>243.9</v>
      </c>
      <c r="Q27" s="14">
        <v>1922</v>
      </c>
      <c r="R27" s="13">
        <v>113.1</v>
      </c>
      <c r="S27" s="14">
        <v>387</v>
      </c>
      <c r="T27" s="13">
        <v>22.8</v>
      </c>
      <c r="U27" s="17">
        <v>11440.7</v>
      </c>
      <c r="V27" s="17">
        <v>13276.7</v>
      </c>
      <c r="W27" s="18">
        <v>-1836</v>
      </c>
    </row>
    <row r="28" spans="1:23">
      <c r="A28" s="12" t="s">
        <v>42</v>
      </c>
      <c r="B28" s="13">
        <v>17</v>
      </c>
      <c r="C28" s="15">
        <v>5112</v>
      </c>
      <c r="D28" s="13">
        <v>300.7</v>
      </c>
      <c r="E28" s="15">
        <v>3068</v>
      </c>
      <c r="F28" s="13">
        <v>180.5</v>
      </c>
      <c r="G28" s="15">
        <v>2044</v>
      </c>
      <c r="H28" s="13">
        <v>120.2</v>
      </c>
      <c r="I28" s="14">
        <v>347</v>
      </c>
      <c r="J28" s="16">
        <v>20.399999999999999</v>
      </c>
      <c r="K28" s="16" t="s">
        <v>13</v>
      </c>
      <c r="L28" s="13">
        <v>17</v>
      </c>
      <c r="M28" s="14">
        <v>5929</v>
      </c>
      <c r="N28" s="13">
        <v>348.8</v>
      </c>
      <c r="O28" s="14">
        <v>3678</v>
      </c>
      <c r="P28" s="13">
        <v>216.4</v>
      </c>
      <c r="Q28" s="14">
        <v>2251</v>
      </c>
      <c r="R28" s="13">
        <v>132.4</v>
      </c>
      <c r="S28" s="14">
        <v>424</v>
      </c>
      <c r="T28" s="13">
        <v>24.9</v>
      </c>
      <c r="U28" s="17">
        <v>11209.8</v>
      </c>
      <c r="V28" s="17">
        <v>13021.5</v>
      </c>
      <c r="W28" s="18">
        <v>-1811.7</v>
      </c>
    </row>
    <row r="29" spans="1:23">
      <c r="A29" s="12" t="s">
        <v>43</v>
      </c>
      <c r="B29" s="13">
        <v>17</v>
      </c>
      <c r="C29" s="15">
        <v>5025</v>
      </c>
      <c r="D29" s="13">
        <v>295.60000000000002</v>
      </c>
      <c r="E29" s="15">
        <v>3048</v>
      </c>
      <c r="F29" s="13">
        <v>179.3</v>
      </c>
      <c r="G29" s="15">
        <v>1977</v>
      </c>
      <c r="H29" s="13">
        <v>116.3</v>
      </c>
      <c r="I29" s="14">
        <v>311</v>
      </c>
      <c r="J29" s="16">
        <v>18.3</v>
      </c>
      <c r="K29" s="16" t="s">
        <v>13</v>
      </c>
      <c r="L29" s="13">
        <v>17</v>
      </c>
      <c r="M29" s="14">
        <v>5563</v>
      </c>
      <c r="N29" s="13">
        <v>327.2</v>
      </c>
      <c r="O29" s="14">
        <v>3467</v>
      </c>
      <c r="P29" s="13">
        <v>203.9</v>
      </c>
      <c r="Q29" s="14">
        <v>2096</v>
      </c>
      <c r="R29" s="13">
        <v>123.3</v>
      </c>
      <c r="S29" s="14">
        <v>380</v>
      </c>
      <c r="T29" s="13">
        <v>22.4</v>
      </c>
      <c r="U29" s="17">
        <v>10987.5</v>
      </c>
      <c r="V29" s="17">
        <v>12199.8</v>
      </c>
      <c r="W29" s="18">
        <v>-1212.3</v>
      </c>
    </row>
    <row r="30" spans="1:23">
      <c r="A30" s="12" t="s">
        <v>44</v>
      </c>
      <c r="B30" s="13">
        <v>17</v>
      </c>
      <c r="C30" s="15">
        <v>4675</v>
      </c>
      <c r="D30" s="13">
        <v>275</v>
      </c>
      <c r="E30" s="15">
        <v>2834</v>
      </c>
      <c r="F30" s="13">
        <v>166.7</v>
      </c>
      <c r="G30" s="15">
        <v>1841</v>
      </c>
      <c r="H30" s="13">
        <v>108.3</v>
      </c>
      <c r="I30" s="14">
        <v>344</v>
      </c>
      <c r="J30" s="16">
        <v>20.2</v>
      </c>
      <c r="K30" s="16" t="s">
        <v>13</v>
      </c>
      <c r="L30" s="13">
        <v>17</v>
      </c>
      <c r="M30" s="14">
        <v>4804</v>
      </c>
      <c r="N30" s="13">
        <v>282.60000000000002</v>
      </c>
      <c r="O30" s="14">
        <v>2694</v>
      </c>
      <c r="P30" s="13">
        <v>158.5</v>
      </c>
      <c r="Q30" s="14">
        <v>2110</v>
      </c>
      <c r="R30" s="13">
        <v>124.1</v>
      </c>
      <c r="S30" s="14">
        <v>333</v>
      </c>
      <c r="T30" s="13">
        <v>19.600000000000001</v>
      </c>
      <c r="U30" s="17">
        <v>10281.200000000001</v>
      </c>
      <c r="V30" s="17">
        <v>10542.8</v>
      </c>
      <c r="W30" s="11">
        <v>-261.60000000000002</v>
      </c>
    </row>
    <row r="31" spans="1:23">
      <c r="A31" s="12" t="s">
        <v>45</v>
      </c>
      <c r="B31" s="13">
        <v>17</v>
      </c>
      <c r="C31" s="15">
        <v>4481</v>
      </c>
      <c r="D31" s="13">
        <v>263.60000000000002</v>
      </c>
      <c r="E31" s="15">
        <v>2385</v>
      </c>
      <c r="F31" s="13">
        <v>140.30000000000001</v>
      </c>
      <c r="G31" s="15">
        <v>2096</v>
      </c>
      <c r="H31" s="13">
        <v>123.3</v>
      </c>
      <c r="I31" s="14">
        <v>300</v>
      </c>
      <c r="J31" s="16">
        <v>17.600000000000001</v>
      </c>
      <c r="K31" s="16" t="s">
        <v>13</v>
      </c>
      <c r="L31" s="13">
        <v>17</v>
      </c>
      <c r="M31" s="14">
        <v>6045</v>
      </c>
      <c r="N31" s="13">
        <v>355.6</v>
      </c>
      <c r="O31" s="14">
        <v>3674</v>
      </c>
      <c r="P31" s="13">
        <v>216.1</v>
      </c>
      <c r="Q31" s="14">
        <v>2371</v>
      </c>
      <c r="R31" s="13">
        <v>139.5</v>
      </c>
      <c r="S31" s="14">
        <v>503</v>
      </c>
      <c r="T31" s="13">
        <v>29.6</v>
      </c>
      <c r="U31" s="17">
        <v>9823.7999999999993</v>
      </c>
      <c r="V31" s="17">
        <v>13350.8</v>
      </c>
      <c r="W31" s="18">
        <v>-3527</v>
      </c>
    </row>
    <row r="32" spans="1:23">
      <c r="A32" s="12" t="s">
        <v>46</v>
      </c>
      <c r="B32" s="13">
        <v>17</v>
      </c>
      <c r="C32" s="15">
        <v>4456</v>
      </c>
      <c r="D32" s="13">
        <v>262.10000000000002</v>
      </c>
      <c r="E32" s="15">
        <v>2808</v>
      </c>
      <c r="F32" s="13">
        <v>165.2</v>
      </c>
      <c r="G32" s="15">
        <v>1649</v>
      </c>
      <c r="H32" s="13">
        <v>97</v>
      </c>
      <c r="I32" s="14">
        <v>279</v>
      </c>
      <c r="J32" s="16">
        <v>16.399999999999999</v>
      </c>
      <c r="K32" s="16" t="s">
        <v>13</v>
      </c>
      <c r="L32" s="13">
        <v>17</v>
      </c>
      <c r="M32" s="14">
        <v>4822</v>
      </c>
      <c r="N32" s="13">
        <v>283.60000000000002</v>
      </c>
      <c r="O32" s="14">
        <v>2843</v>
      </c>
      <c r="P32" s="13">
        <v>167.2</v>
      </c>
      <c r="Q32" s="14">
        <v>1979</v>
      </c>
      <c r="R32" s="13">
        <v>116.4</v>
      </c>
      <c r="S32" s="14">
        <v>379</v>
      </c>
      <c r="T32" s="13">
        <v>22.3</v>
      </c>
      <c r="U32" s="17">
        <v>9749.7000000000007</v>
      </c>
      <c r="V32" s="17">
        <v>10629.5</v>
      </c>
      <c r="W32" s="11">
        <v>-879.8</v>
      </c>
    </row>
    <row r="33" spans="1:23">
      <c r="A33" s="12" t="s">
        <v>47</v>
      </c>
      <c r="B33" s="13">
        <v>17</v>
      </c>
      <c r="C33" s="15">
        <v>4413</v>
      </c>
      <c r="D33" s="13">
        <v>259.60000000000002</v>
      </c>
      <c r="E33" s="15">
        <v>2824</v>
      </c>
      <c r="F33" s="13">
        <v>166.1</v>
      </c>
      <c r="G33" s="15">
        <v>1589</v>
      </c>
      <c r="H33" s="13">
        <v>93.5</v>
      </c>
      <c r="I33" s="14">
        <v>284</v>
      </c>
      <c r="J33" s="16">
        <v>16.7</v>
      </c>
      <c r="K33" s="16" t="s">
        <v>13</v>
      </c>
      <c r="L33" s="13">
        <v>17</v>
      </c>
      <c r="M33" s="14">
        <v>5867</v>
      </c>
      <c r="N33" s="13">
        <v>345.1</v>
      </c>
      <c r="O33" s="14">
        <v>3919</v>
      </c>
      <c r="P33" s="13">
        <v>230.5</v>
      </c>
      <c r="Q33" s="14">
        <v>1948</v>
      </c>
      <c r="R33" s="13">
        <v>114.6</v>
      </c>
      <c r="S33" s="14">
        <v>478</v>
      </c>
      <c r="T33" s="13">
        <v>28.1</v>
      </c>
      <c r="U33" s="17">
        <v>9662.9</v>
      </c>
      <c r="V33" s="17">
        <v>12947.3</v>
      </c>
      <c r="W33" s="18">
        <v>-3284.4</v>
      </c>
    </row>
    <row r="34" spans="1:23">
      <c r="A34" s="12" t="s">
        <v>48</v>
      </c>
      <c r="B34" s="10">
        <v>17</v>
      </c>
      <c r="C34" s="19">
        <v>4168</v>
      </c>
      <c r="D34" s="10">
        <v>245.2</v>
      </c>
      <c r="E34" s="19">
        <v>2851</v>
      </c>
      <c r="F34" s="10">
        <v>167.7</v>
      </c>
      <c r="G34" s="19">
        <v>1317</v>
      </c>
      <c r="H34" s="10">
        <v>77.5</v>
      </c>
      <c r="I34" s="11">
        <v>241</v>
      </c>
      <c r="J34" s="9">
        <v>14.2</v>
      </c>
      <c r="K34" s="20" t="s">
        <v>13</v>
      </c>
      <c r="L34" s="13">
        <v>17</v>
      </c>
      <c r="M34" s="11">
        <v>5403</v>
      </c>
      <c r="N34" s="10">
        <v>317.8</v>
      </c>
      <c r="O34" s="11">
        <v>3417</v>
      </c>
      <c r="P34" s="10">
        <v>201</v>
      </c>
      <c r="Q34" s="11">
        <v>1986</v>
      </c>
      <c r="R34" s="10">
        <v>116.8</v>
      </c>
      <c r="S34" s="11">
        <v>432</v>
      </c>
      <c r="T34" s="10">
        <v>25.4</v>
      </c>
      <c r="U34" s="17">
        <v>9098.6</v>
      </c>
      <c r="V34" s="17">
        <v>11916</v>
      </c>
      <c r="W34" s="18">
        <v>-2817.4</v>
      </c>
    </row>
    <row r="35" spans="1:23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3"/>
    </row>
    <row r="36" spans="1:23">
      <c r="A36" s="21"/>
      <c r="B36" s="22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5"/>
    </row>
    <row r="37" spans="1:23">
      <c r="A37" s="21"/>
      <c r="B37" s="26"/>
      <c r="C37" s="27" t="s">
        <v>49</v>
      </c>
      <c r="D37" s="22"/>
      <c r="E37" s="27" t="s">
        <v>50</v>
      </c>
      <c r="F37" s="27">
        <v>166.1</v>
      </c>
      <c r="G37" s="27" t="s">
        <v>51</v>
      </c>
      <c r="H37" s="27">
        <v>93.5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3"/>
    </row>
    <row r="38" spans="1:23">
      <c r="A38" s="21"/>
      <c r="B38" s="26"/>
      <c r="C38" s="22"/>
      <c r="D38" s="22"/>
      <c r="E38" s="27" t="s">
        <v>52</v>
      </c>
      <c r="F38" s="27">
        <v>201</v>
      </c>
      <c r="G38" s="27" t="s">
        <v>53</v>
      </c>
      <c r="H38" s="27">
        <v>116.8</v>
      </c>
      <c r="I38" s="22"/>
      <c r="J38" s="22"/>
      <c r="K38" s="22"/>
      <c r="L38" s="22"/>
      <c r="M38" s="27" t="s">
        <v>54</v>
      </c>
      <c r="N38" s="27" t="s">
        <v>55</v>
      </c>
      <c r="O38" s="27" t="s">
        <v>56</v>
      </c>
      <c r="P38" s="27" t="s">
        <v>57</v>
      </c>
      <c r="Q38" s="27" t="s">
        <v>58</v>
      </c>
      <c r="R38" s="27" t="s">
        <v>59</v>
      </c>
      <c r="S38" s="27" t="s">
        <v>60</v>
      </c>
      <c r="T38" s="27" t="s">
        <v>61</v>
      </c>
      <c r="U38" s="27" t="s">
        <v>62</v>
      </c>
      <c r="V38" s="22"/>
      <c r="W38" s="23"/>
    </row>
    <row r="39" spans="1:23">
      <c r="A39" s="21"/>
      <c r="B39" s="26"/>
      <c r="C39" s="22"/>
      <c r="D39" s="22"/>
      <c r="E39" s="27" t="s">
        <v>63</v>
      </c>
      <c r="F39" s="27">
        <v>-34.9</v>
      </c>
      <c r="G39" s="27" t="s">
        <v>64</v>
      </c>
      <c r="H39" s="27">
        <v>-23.3</v>
      </c>
      <c r="I39" s="22"/>
      <c r="J39" s="22"/>
      <c r="K39" s="27" t="s">
        <v>65</v>
      </c>
      <c r="L39" s="27">
        <v>-58.2</v>
      </c>
      <c r="M39" s="27">
        <v>167.7</v>
      </c>
      <c r="N39" s="27">
        <v>77.5</v>
      </c>
      <c r="O39" s="27">
        <v>14.2</v>
      </c>
      <c r="P39" s="27">
        <v>25.4</v>
      </c>
      <c r="Q39" s="27">
        <v>201</v>
      </c>
      <c r="R39" s="27">
        <v>116.8</v>
      </c>
      <c r="S39" s="27">
        <v>-83.8</v>
      </c>
      <c r="T39" s="27">
        <v>-34.9</v>
      </c>
      <c r="U39" s="27">
        <v>-23.3</v>
      </c>
      <c r="V39" s="27">
        <v>-142</v>
      </c>
      <c r="W39" s="28">
        <v>-9.9</v>
      </c>
    </row>
    <row r="40" spans="1:23">
      <c r="A40" s="21"/>
      <c r="B40" s="26"/>
      <c r="C40" s="22"/>
      <c r="D40" s="22"/>
      <c r="E40" s="22"/>
      <c r="F40" s="22"/>
      <c r="G40" s="27" t="s">
        <v>66</v>
      </c>
      <c r="H40" s="27">
        <v>-58.2</v>
      </c>
      <c r="I40" s="22"/>
      <c r="J40" s="22"/>
      <c r="K40" s="27" t="s">
        <v>67</v>
      </c>
      <c r="L40" s="27">
        <v>-99.9</v>
      </c>
      <c r="M40" s="27">
        <v>166.1</v>
      </c>
      <c r="N40" s="27">
        <v>93.5</v>
      </c>
      <c r="O40" s="27">
        <v>16.7</v>
      </c>
      <c r="P40" s="27">
        <v>28.1</v>
      </c>
      <c r="Q40" s="27">
        <v>230.5</v>
      </c>
      <c r="R40" s="27">
        <v>114.6</v>
      </c>
      <c r="S40" s="27">
        <v>-96.9</v>
      </c>
      <c r="T40" s="27">
        <v>-62.8</v>
      </c>
      <c r="U40" s="27">
        <v>-37.1</v>
      </c>
      <c r="V40" s="27">
        <v>-196.8</v>
      </c>
      <c r="W40" s="28">
        <v>-13.8</v>
      </c>
    </row>
    <row r="41" spans="1:23">
      <c r="A41" s="21"/>
      <c r="B41" s="26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8">
        <v>-3.8</v>
      </c>
    </row>
    <row r="42" spans="1:23">
      <c r="A42" s="21"/>
      <c r="B42" s="26"/>
      <c r="C42" s="22"/>
      <c r="D42" s="22"/>
      <c r="E42" s="27" t="s">
        <v>68</v>
      </c>
      <c r="F42" s="27">
        <v>167.7</v>
      </c>
      <c r="G42" s="27" t="s">
        <v>69</v>
      </c>
      <c r="H42" s="27">
        <v>77.5</v>
      </c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8" t="s">
        <v>70</v>
      </c>
    </row>
    <row r="43" spans="1:23">
      <c r="A43" s="21"/>
      <c r="B43" s="26"/>
      <c r="C43" s="22"/>
      <c r="D43" s="22"/>
      <c r="E43" s="27" t="s">
        <v>71</v>
      </c>
      <c r="F43" s="27">
        <v>230.5</v>
      </c>
      <c r="G43" s="27" t="s">
        <v>72</v>
      </c>
      <c r="H43" s="27">
        <v>114.6</v>
      </c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7" t="s">
        <v>73</v>
      </c>
      <c r="W43" s="28" t="s">
        <v>74</v>
      </c>
    </row>
    <row r="44" spans="1:23">
      <c r="A44" s="21"/>
      <c r="B44" s="26"/>
      <c r="C44" s="22"/>
      <c r="D44" s="22"/>
      <c r="E44" s="27" t="s">
        <v>75</v>
      </c>
      <c r="F44" s="27">
        <v>-62.8</v>
      </c>
      <c r="G44" s="27" t="s">
        <v>76</v>
      </c>
      <c r="H44" s="27">
        <v>-37.1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7" t="s">
        <v>73</v>
      </c>
      <c r="W44" s="28" t="s">
        <v>77</v>
      </c>
    </row>
    <row r="45" spans="1:23">
      <c r="A45" s="21"/>
      <c r="B45" s="26"/>
      <c r="C45" s="22"/>
      <c r="D45" s="22"/>
      <c r="E45" s="22"/>
      <c r="F45" s="22"/>
      <c r="G45" s="27" t="s">
        <v>78</v>
      </c>
      <c r="H45" s="27">
        <v>-99.9</v>
      </c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7" t="s">
        <v>79</v>
      </c>
      <c r="W45" s="28" t="s">
        <v>80</v>
      </c>
    </row>
    <row r="46" spans="1:23">
      <c r="A46" s="29"/>
      <c r="B46" s="30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31" t="s">
        <v>81</v>
      </c>
      <c r="W46" s="25"/>
    </row>
    <row r="47" spans="1:23" ht="15" customHeight="1">
      <c r="A47" s="32"/>
      <c r="B47" s="33"/>
      <c r="C47" s="33"/>
      <c r="D47" s="115" t="s">
        <v>82</v>
      </c>
      <c r="E47" s="116"/>
      <c r="F47" s="117"/>
      <c r="G47" s="115" t="s">
        <v>83</v>
      </c>
      <c r="H47" s="116"/>
      <c r="I47" s="117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3"/>
    </row>
    <row r="48" spans="1:23" ht="15.75">
      <c r="A48" s="34" t="s">
        <v>84</v>
      </c>
      <c r="B48" s="35" t="s">
        <v>8</v>
      </c>
      <c r="C48" s="35" t="s">
        <v>85</v>
      </c>
      <c r="D48" s="35" t="s">
        <v>86</v>
      </c>
      <c r="E48" s="35" t="s">
        <v>87</v>
      </c>
      <c r="F48" s="35" t="s">
        <v>88</v>
      </c>
      <c r="G48" s="35" t="s">
        <v>86</v>
      </c>
      <c r="H48" s="35" t="s">
        <v>87</v>
      </c>
      <c r="I48" s="35" t="s">
        <v>88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3"/>
    </row>
    <row r="49" spans="1:23">
      <c r="A49" s="36" t="s">
        <v>22</v>
      </c>
      <c r="B49" s="37">
        <v>17</v>
      </c>
      <c r="C49" s="38">
        <v>22</v>
      </c>
      <c r="D49" s="37">
        <v>23</v>
      </c>
      <c r="E49" s="37">
        <v>10</v>
      </c>
      <c r="F49" s="37">
        <v>33</v>
      </c>
      <c r="G49" s="37">
        <v>7</v>
      </c>
      <c r="H49" s="37">
        <v>4</v>
      </c>
      <c r="I49" s="37">
        <v>11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3"/>
    </row>
    <row r="50" spans="1:23">
      <c r="A50" s="36" t="s">
        <v>34</v>
      </c>
      <c r="B50" s="37">
        <v>17</v>
      </c>
      <c r="C50" s="38">
        <v>17</v>
      </c>
      <c r="D50" s="37">
        <v>19</v>
      </c>
      <c r="E50" s="37">
        <v>10</v>
      </c>
      <c r="F50" s="37">
        <v>29</v>
      </c>
      <c r="G50" s="37">
        <v>9</v>
      </c>
      <c r="H50" s="37">
        <v>3</v>
      </c>
      <c r="I50" s="37">
        <v>12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3"/>
    </row>
    <row r="51" spans="1:23">
      <c r="A51" s="36" t="s">
        <v>27</v>
      </c>
      <c r="B51" s="37">
        <v>17</v>
      </c>
      <c r="C51" s="38">
        <v>13</v>
      </c>
      <c r="D51" s="37">
        <v>22</v>
      </c>
      <c r="E51" s="37">
        <v>9</v>
      </c>
      <c r="F51" s="37">
        <v>31</v>
      </c>
      <c r="G51" s="37">
        <v>12</v>
      </c>
      <c r="H51" s="37">
        <v>6</v>
      </c>
      <c r="I51" s="37">
        <v>18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3"/>
    </row>
    <row r="52" spans="1:23">
      <c r="A52" s="36" t="s">
        <v>41</v>
      </c>
      <c r="B52" s="37">
        <v>17</v>
      </c>
      <c r="C52" s="38">
        <v>12</v>
      </c>
      <c r="D52" s="37">
        <v>15</v>
      </c>
      <c r="E52" s="37">
        <v>12</v>
      </c>
      <c r="F52" s="37">
        <v>27</v>
      </c>
      <c r="G52" s="37">
        <v>9</v>
      </c>
      <c r="H52" s="37">
        <v>6</v>
      </c>
      <c r="I52" s="37">
        <v>15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3"/>
    </row>
    <row r="53" spans="1:23">
      <c r="A53" s="36" t="s">
        <v>17</v>
      </c>
      <c r="B53" s="37">
        <v>17</v>
      </c>
      <c r="C53" s="38">
        <v>11</v>
      </c>
      <c r="D53" s="37">
        <v>16</v>
      </c>
      <c r="E53" s="37">
        <v>10</v>
      </c>
      <c r="F53" s="37">
        <v>26</v>
      </c>
      <c r="G53" s="37">
        <v>8</v>
      </c>
      <c r="H53" s="37">
        <v>7</v>
      </c>
      <c r="I53" s="37">
        <v>15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3"/>
    </row>
    <row r="54" spans="1:23">
      <c r="A54" s="36" t="s">
        <v>37</v>
      </c>
      <c r="B54" s="37">
        <v>17</v>
      </c>
      <c r="C54" s="38">
        <v>7</v>
      </c>
      <c r="D54" s="37">
        <v>13</v>
      </c>
      <c r="E54" s="37">
        <v>10</v>
      </c>
      <c r="F54" s="37">
        <v>23</v>
      </c>
      <c r="G54" s="37">
        <v>11</v>
      </c>
      <c r="H54" s="37">
        <v>5</v>
      </c>
      <c r="I54" s="37">
        <v>16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3"/>
    </row>
    <row r="55" spans="1:23">
      <c r="A55" s="36" t="s">
        <v>40</v>
      </c>
      <c r="B55" s="37">
        <v>17</v>
      </c>
      <c r="C55" s="38">
        <v>6</v>
      </c>
      <c r="D55" s="37">
        <v>12</v>
      </c>
      <c r="E55" s="37">
        <v>9</v>
      </c>
      <c r="F55" s="37">
        <v>21</v>
      </c>
      <c r="G55" s="37">
        <v>7</v>
      </c>
      <c r="H55" s="37">
        <v>8</v>
      </c>
      <c r="I55" s="37">
        <v>15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3"/>
    </row>
    <row r="56" spans="1:23">
      <c r="A56" s="36" t="s">
        <v>30</v>
      </c>
      <c r="B56" s="37">
        <v>17</v>
      </c>
      <c r="C56" s="38">
        <v>5</v>
      </c>
      <c r="D56" s="37">
        <v>16</v>
      </c>
      <c r="E56" s="37">
        <v>7</v>
      </c>
      <c r="F56" s="37">
        <v>23</v>
      </c>
      <c r="G56" s="37">
        <v>8</v>
      </c>
      <c r="H56" s="37">
        <v>10</v>
      </c>
      <c r="I56" s="37">
        <v>18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3"/>
    </row>
    <row r="57" spans="1:23">
      <c r="A57" s="36" t="s">
        <v>21</v>
      </c>
      <c r="B57" s="37">
        <v>17</v>
      </c>
      <c r="C57" s="38">
        <v>4</v>
      </c>
      <c r="D57" s="37">
        <v>13</v>
      </c>
      <c r="E57" s="37">
        <v>6</v>
      </c>
      <c r="F57" s="37">
        <v>19</v>
      </c>
      <c r="G57" s="37">
        <v>8</v>
      </c>
      <c r="H57" s="37">
        <v>7</v>
      </c>
      <c r="I57" s="37">
        <v>15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3"/>
    </row>
    <row r="58" spans="1:23">
      <c r="A58" s="36" t="s">
        <v>19</v>
      </c>
      <c r="B58" s="37">
        <v>17</v>
      </c>
      <c r="C58" s="38">
        <v>3</v>
      </c>
      <c r="D58" s="37">
        <v>10</v>
      </c>
      <c r="E58" s="37">
        <v>9</v>
      </c>
      <c r="F58" s="37">
        <v>19</v>
      </c>
      <c r="G58" s="37">
        <v>8</v>
      </c>
      <c r="H58" s="37">
        <v>8</v>
      </c>
      <c r="I58" s="37">
        <v>16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3"/>
    </row>
    <row r="59" spans="1:23">
      <c r="A59" s="36" t="s">
        <v>28</v>
      </c>
      <c r="B59" s="37">
        <v>17</v>
      </c>
      <c r="C59" s="38">
        <v>2</v>
      </c>
      <c r="D59" s="37">
        <v>19</v>
      </c>
      <c r="E59" s="37">
        <v>4</v>
      </c>
      <c r="F59" s="37">
        <v>23</v>
      </c>
      <c r="G59" s="37">
        <v>14</v>
      </c>
      <c r="H59" s="37">
        <v>7</v>
      </c>
      <c r="I59" s="37">
        <v>21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3"/>
    </row>
    <row r="60" spans="1:23">
      <c r="A60" s="36" t="s">
        <v>20</v>
      </c>
      <c r="B60" s="37">
        <v>17</v>
      </c>
      <c r="C60" s="38">
        <v>1</v>
      </c>
      <c r="D60" s="37">
        <v>13</v>
      </c>
      <c r="E60" s="37">
        <v>7</v>
      </c>
      <c r="F60" s="37">
        <v>20</v>
      </c>
      <c r="G60" s="37">
        <v>10</v>
      </c>
      <c r="H60" s="37">
        <v>9</v>
      </c>
      <c r="I60" s="37">
        <v>19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3"/>
    </row>
    <row r="61" spans="1:23">
      <c r="A61" s="36" t="s">
        <v>31</v>
      </c>
      <c r="B61" s="37">
        <v>17</v>
      </c>
      <c r="C61" s="38">
        <v>1</v>
      </c>
      <c r="D61" s="37">
        <v>7</v>
      </c>
      <c r="E61" s="37">
        <v>7</v>
      </c>
      <c r="F61" s="37">
        <v>14</v>
      </c>
      <c r="G61" s="37">
        <v>7</v>
      </c>
      <c r="H61" s="37">
        <v>6</v>
      </c>
      <c r="I61" s="37">
        <v>13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3"/>
    </row>
    <row r="62" spans="1:23">
      <c r="A62" s="36" t="s">
        <v>36</v>
      </c>
      <c r="B62" s="37">
        <v>17</v>
      </c>
      <c r="C62" s="39">
        <v>-1</v>
      </c>
      <c r="D62" s="37">
        <v>10</v>
      </c>
      <c r="E62" s="37">
        <v>4</v>
      </c>
      <c r="F62" s="37">
        <v>14</v>
      </c>
      <c r="G62" s="37">
        <v>12</v>
      </c>
      <c r="H62" s="37">
        <v>3</v>
      </c>
      <c r="I62" s="37">
        <v>15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3"/>
    </row>
    <row r="63" spans="1:23">
      <c r="A63" s="36" t="s">
        <v>35</v>
      </c>
      <c r="B63" s="37">
        <v>17</v>
      </c>
      <c r="C63" s="39">
        <v>-2</v>
      </c>
      <c r="D63" s="37">
        <v>10</v>
      </c>
      <c r="E63" s="37">
        <v>9</v>
      </c>
      <c r="F63" s="37">
        <v>19</v>
      </c>
      <c r="G63" s="37">
        <v>11</v>
      </c>
      <c r="H63" s="37">
        <v>10</v>
      </c>
      <c r="I63" s="37">
        <v>21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3"/>
    </row>
    <row r="64" spans="1:23">
      <c r="A64" s="36" t="s">
        <v>43</v>
      </c>
      <c r="B64" s="37">
        <v>17</v>
      </c>
      <c r="C64" s="39">
        <v>-2</v>
      </c>
      <c r="D64" s="37">
        <v>15</v>
      </c>
      <c r="E64" s="37">
        <v>6</v>
      </c>
      <c r="F64" s="37">
        <v>21</v>
      </c>
      <c r="G64" s="37">
        <v>12</v>
      </c>
      <c r="H64" s="37">
        <v>11</v>
      </c>
      <c r="I64" s="37">
        <v>23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3"/>
    </row>
    <row r="65" spans="1:23">
      <c r="A65" s="36" t="s">
        <v>25</v>
      </c>
      <c r="B65" s="37">
        <v>17</v>
      </c>
      <c r="C65" s="39">
        <v>-2</v>
      </c>
      <c r="D65" s="37">
        <v>14</v>
      </c>
      <c r="E65" s="37">
        <v>7</v>
      </c>
      <c r="F65" s="37">
        <v>21</v>
      </c>
      <c r="G65" s="37">
        <v>14</v>
      </c>
      <c r="H65" s="37">
        <v>9</v>
      </c>
      <c r="I65" s="37">
        <v>23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3"/>
    </row>
    <row r="66" spans="1:23">
      <c r="A66" s="36" t="s">
        <v>29</v>
      </c>
      <c r="B66" s="37">
        <v>17</v>
      </c>
      <c r="C66" s="39">
        <v>-2</v>
      </c>
      <c r="D66" s="37">
        <v>9</v>
      </c>
      <c r="E66" s="37">
        <v>6</v>
      </c>
      <c r="F66" s="37">
        <v>15</v>
      </c>
      <c r="G66" s="37">
        <v>10</v>
      </c>
      <c r="H66" s="37">
        <v>7</v>
      </c>
      <c r="I66" s="37">
        <v>17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3"/>
    </row>
    <row r="67" spans="1:23">
      <c r="A67" s="36" t="s">
        <v>32</v>
      </c>
      <c r="B67" s="37">
        <v>17</v>
      </c>
      <c r="C67" s="39">
        <v>-3</v>
      </c>
      <c r="D67" s="37">
        <v>11</v>
      </c>
      <c r="E67" s="37">
        <v>9</v>
      </c>
      <c r="F67" s="37">
        <v>20</v>
      </c>
      <c r="G67" s="37">
        <v>11</v>
      </c>
      <c r="H67" s="37">
        <v>12</v>
      </c>
      <c r="I67" s="37">
        <v>23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3"/>
    </row>
    <row r="68" spans="1:23">
      <c r="A68" s="36" t="s">
        <v>33</v>
      </c>
      <c r="B68" s="37">
        <v>17</v>
      </c>
      <c r="C68" s="39">
        <v>-3</v>
      </c>
      <c r="D68" s="37">
        <v>13</v>
      </c>
      <c r="E68" s="37">
        <v>8</v>
      </c>
      <c r="F68" s="37">
        <v>21</v>
      </c>
      <c r="G68" s="37">
        <v>17</v>
      </c>
      <c r="H68" s="37">
        <v>7</v>
      </c>
      <c r="I68" s="37">
        <v>24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3"/>
    </row>
    <row r="69" spans="1:23">
      <c r="A69" s="36" t="s">
        <v>26</v>
      </c>
      <c r="B69" s="37">
        <v>17</v>
      </c>
      <c r="C69" s="39">
        <v>-3</v>
      </c>
      <c r="D69" s="37">
        <v>10</v>
      </c>
      <c r="E69" s="37">
        <v>4</v>
      </c>
      <c r="F69" s="37">
        <v>14</v>
      </c>
      <c r="G69" s="37">
        <v>11</v>
      </c>
      <c r="H69" s="37">
        <v>6</v>
      </c>
      <c r="I69" s="37">
        <v>17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3"/>
    </row>
    <row r="70" spans="1:23">
      <c r="A70" s="36" t="s">
        <v>24</v>
      </c>
      <c r="B70" s="37">
        <v>17</v>
      </c>
      <c r="C70" s="39">
        <v>-3</v>
      </c>
      <c r="D70" s="37">
        <v>18</v>
      </c>
      <c r="E70" s="37">
        <v>7</v>
      </c>
      <c r="F70" s="37">
        <v>25</v>
      </c>
      <c r="G70" s="37">
        <v>15</v>
      </c>
      <c r="H70" s="37">
        <v>13</v>
      </c>
      <c r="I70" s="37">
        <v>28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3"/>
    </row>
    <row r="71" spans="1:23">
      <c r="A71" s="36" t="s">
        <v>42</v>
      </c>
      <c r="B71" s="37">
        <v>17</v>
      </c>
      <c r="C71" s="39">
        <v>-4</v>
      </c>
      <c r="D71" s="37">
        <v>9</v>
      </c>
      <c r="E71" s="37">
        <v>11</v>
      </c>
      <c r="F71" s="37">
        <v>20</v>
      </c>
      <c r="G71" s="37">
        <v>18</v>
      </c>
      <c r="H71" s="37">
        <v>6</v>
      </c>
      <c r="I71" s="37">
        <v>24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3"/>
    </row>
    <row r="72" spans="1:23">
      <c r="A72" s="36" t="s">
        <v>39</v>
      </c>
      <c r="B72" s="37">
        <v>17</v>
      </c>
      <c r="C72" s="39">
        <v>-4</v>
      </c>
      <c r="D72" s="37">
        <v>10</v>
      </c>
      <c r="E72" s="37">
        <v>10</v>
      </c>
      <c r="F72" s="37">
        <v>20</v>
      </c>
      <c r="G72" s="37">
        <v>12</v>
      </c>
      <c r="H72" s="37">
        <v>12</v>
      </c>
      <c r="I72" s="37">
        <v>24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3"/>
    </row>
    <row r="73" spans="1:23">
      <c r="A73" s="36" t="s">
        <v>47</v>
      </c>
      <c r="B73" s="37">
        <v>17</v>
      </c>
      <c r="C73" s="39">
        <v>-5</v>
      </c>
      <c r="D73" s="37">
        <v>6</v>
      </c>
      <c r="E73" s="37">
        <v>8</v>
      </c>
      <c r="F73" s="37">
        <v>14</v>
      </c>
      <c r="G73" s="37">
        <v>8</v>
      </c>
      <c r="H73" s="37">
        <v>11</v>
      </c>
      <c r="I73" s="37">
        <v>19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3"/>
    </row>
    <row r="74" spans="1:23">
      <c r="A74" s="36" t="s">
        <v>23</v>
      </c>
      <c r="B74" s="37">
        <v>17</v>
      </c>
      <c r="C74" s="39">
        <v>-6</v>
      </c>
      <c r="D74" s="37">
        <v>6</v>
      </c>
      <c r="E74" s="37">
        <v>10</v>
      </c>
      <c r="F74" s="37">
        <v>16</v>
      </c>
      <c r="G74" s="37">
        <v>16</v>
      </c>
      <c r="H74" s="37">
        <v>6</v>
      </c>
      <c r="I74" s="37">
        <v>22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3"/>
    </row>
    <row r="75" spans="1:23">
      <c r="A75" s="36" t="s">
        <v>46</v>
      </c>
      <c r="B75" s="37">
        <v>17</v>
      </c>
      <c r="C75" s="39">
        <v>-7</v>
      </c>
      <c r="D75" s="37">
        <v>11</v>
      </c>
      <c r="E75" s="37">
        <v>7</v>
      </c>
      <c r="F75" s="37">
        <v>18</v>
      </c>
      <c r="G75" s="37">
        <v>18</v>
      </c>
      <c r="H75" s="37">
        <v>7</v>
      </c>
      <c r="I75" s="37">
        <v>25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3"/>
    </row>
    <row r="76" spans="1:23">
      <c r="A76" s="36" t="s">
        <v>48</v>
      </c>
      <c r="B76" s="37">
        <v>17</v>
      </c>
      <c r="C76" s="39">
        <v>-7</v>
      </c>
      <c r="D76" s="37">
        <v>8</v>
      </c>
      <c r="E76" s="37">
        <v>8</v>
      </c>
      <c r="F76" s="37">
        <v>16</v>
      </c>
      <c r="G76" s="37">
        <v>19</v>
      </c>
      <c r="H76" s="37">
        <v>4</v>
      </c>
      <c r="I76" s="37">
        <v>23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3"/>
    </row>
    <row r="77" spans="1:23">
      <c r="A77" s="36" t="s">
        <v>18</v>
      </c>
      <c r="B77" s="37">
        <v>17</v>
      </c>
      <c r="C77" s="39">
        <v>-9</v>
      </c>
      <c r="D77" s="37">
        <v>6</v>
      </c>
      <c r="E77" s="37">
        <v>6</v>
      </c>
      <c r="F77" s="37">
        <v>12</v>
      </c>
      <c r="G77" s="37">
        <v>12</v>
      </c>
      <c r="H77" s="37">
        <v>9</v>
      </c>
      <c r="I77" s="37">
        <v>21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3"/>
    </row>
    <row r="78" spans="1:23">
      <c r="A78" s="36" t="s">
        <v>44</v>
      </c>
      <c r="B78" s="37">
        <v>17</v>
      </c>
      <c r="C78" s="39">
        <v>-9</v>
      </c>
      <c r="D78" s="37">
        <v>8</v>
      </c>
      <c r="E78" s="37">
        <v>13</v>
      </c>
      <c r="F78" s="37">
        <v>21</v>
      </c>
      <c r="G78" s="37">
        <v>21</v>
      </c>
      <c r="H78" s="37">
        <v>9</v>
      </c>
      <c r="I78" s="37">
        <v>30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3"/>
    </row>
    <row r="79" spans="1:23">
      <c r="A79" s="36" t="s">
        <v>38</v>
      </c>
      <c r="B79" s="37">
        <v>17</v>
      </c>
      <c r="C79" s="39">
        <v>-13</v>
      </c>
      <c r="D79" s="37">
        <v>8</v>
      </c>
      <c r="E79" s="37">
        <v>2</v>
      </c>
      <c r="F79" s="37">
        <v>10</v>
      </c>
      <c r="G79" s="37">
        <v>12</v>
      </c>
      <c r="H79" s="37">
        <v>11</v>
      </c>
      <c r="I79" s="37">
        <v>23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3"/>
    </row>
    <row r="80" spans="1:23">
      <c r="A80" s="36" t="s">
        <v>45</v>
      </c>
      <c r="B80" s="37">
        <v>17</v>
      </c>
      <c r="C80" s="39">
        <v>-19</v>
      </c>
      <c r="D80" s="37">
        <v>0</v>
      </c>
      <c r="E80" s="37">
        <v>4</v>
      </c>
      <c r="F80" s="37">
        <v>4</v>
      </c>
      <c r="G80" s="37">
        <v>13</v>
      </c>
      <c r="H80" s="37">
        <v>10</v>
      </c>
      <c r="I80" s="37">
        <v>23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3"/>
    </row>
    <row r="81" spans="1:23">
      <c r="A81" s="21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3"/>
    </row>
    <row r="82" spans="1:23">
      <c r="A82" s="21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3"/>
    </row>
    <row r="83" spans="1:23">
      <c r="A83" s="21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3"/>
    </row>
    <row r="84" spans="1:23">
      <c r="A84" s="21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3"/>
    </row>
    <row r="85" spans="1:23">
      <c r="A85" s="118" t="s">
        <v>89</v>
      </c>
      <c r="B85" s="119"/>
      <c r="C85" s="119"/>
      <c r="D85" s="119"/>
      <c r="E85" s="119"/>
      <c r="F85" s="119"/>
      <c r="G85" s="119"/>
      <c r="H85" s="119"/>
      <c r="I85" s="119"/>
      <c r="J85" s="120"/>
      <c r="K85" s="121" t="s">
        <v>90</v>
      </c>
      <c r="L85" s="120"/>
      <c r="M85" s="121" t="s">
        <v>91</v>
      </c>
      <c r="N85" s="119"/>
      <c r="O85" s="120"/>
      <c r="P85" s="22"/>
      <c r="Q85" s="22"/>
      <c r="R85" s="22"/>
      <c r="S85" s="22"/>
      <c r="T85" s="22"/>
      <c r="U85" s="22"/>
      <c r="V85" s="22"/>
      <c r="W85" s="23"/>
    </row>
    <row r="86" spans="1:23">
      <c r="A86" s="40" t="s">
        <v>84</v>
      </c>
      <c r="B86" s="41" t="s">
        <v>92</v>
      </c>
      <c r="C86" s="41" t="s">
        <v>93</v>
      </c>
      <c r="D86" s="41" t="s">
        <v>94</v>
      </c>
      <c r="E86" s="41" t="s">
        <v>95</v>
      </c>
      <c r="F86" s="41" t="s">
        <v>96</v>
      </c>
      <c r="G86" s="41" t="s">
        <v>97</v>
      </c>
      <c r="H86" s="41" t="s">
        <v>98</v>
      </c>
      <c r="I86" s="41" t="s">
        <v>99</v>
      </c>
      <c r="J86" s="41" t="s">
        <v>100</v>
      </c>
      <c r="K86" s="41" t="s">
        <v>101</v>
      </c>
      <c r="L86" s="41" t="s">
        <v>102</v>
      </c>
      <c r="M86" s="41" t="s">
        <v>103</v>
      </c>
      <c r="N86" s="41" t="s">
        <v>104</v>
      </c>
      <c r="O86" s="41" t="s">
        <v>105</v>
      </c>
      <c r="P86" s="41" t="s">
        <v>106</v>
      </c>
      <c r="Q86" s="22"/>
      <c r="R86" s="22"/>
      <c r="S86" s="22"/>
      <c r="T86" s="22"/>
      <c r="U86" s="22"/>
      <c r="V86" s="22"/>
      <c r="W86" s="23"/>
    </row>
    <row r="87" spans="1:23">
      <c r="A87" s="42" t="s">
        <v>24</v>
      </c>
      <c r="B87" s="43">
        <v>31</v>
      </c>
      <c r="C87" s="43">
        <v>9</v>
      </c>
      <c r="D87" s="43">
        <v>20</v>
      </c>
      <c r="E87" s="43">
        <v>0</v>
      </c>
      <c r="F87" s="43">
        <v>1</v>
      </c>
      <c r="G87" s="43">
        <v>0</v>
      </c>
      <c r="H87" s="43">
        <v>1</v>
      </c>
      <c r="I87" s="43">
        <v>0</v>
      </c>
      <c r="J87" s="43">
        <v>0</v>
      </c>
      <c r="K87" s="43">
        <v>0</v>
      </c>
      <c r="L87" s="43" t="s">
        <v>107</v>
      </c>
      <c r="M87" s="43" t="s">
        <v>108</v>
      </c>
      <c r="N87" s="43">
        <v>3</v>
      </c>
      <c r="O87" s="43">
        <v>0</v>
      </c>
      <c r="P87" s="44">
        <v>292</v>
      </c>
      <c r="Q87" s="22"/>
      <c r="R87" s="22"/>
      <c r="S87" s="22"/>
      <c r="T87" s="22"/>
      <c r="U87" s="22"/>
      <c r="V87" s="22"/>
      <c r="W87" s="23"/>
    </row>
    <row r="88" spans="1:23">
      <c r="A88" s="42" t="s">
        <v>34</v>
      </c>
      <c r="B88" s="45">
        <v>35</v>
      </c>
      <c r="C88" s="45">
        <v>13</v>
      </c>
      <c r="D88" s="45">
        <v>20</v>
      </c>
      <c r="E88" s="45">
        <v>1</v>
      </c>
      <c r="F88" s="45">
        <v>1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 t="s">
        <v>109</v>
      </c>
      <c r="M88" s="45" t="s">
        <v>110</v>
      </c>
      <c r="N88" s="45">
        <v>2</v>
      </c>
      <c r="O88" s="45">
        <v>0</v>
      </c>
      <c r="P88" s="46">
        <v>295</v>
      </c>
      <c r="Q88" s="22"/>
      <c r="R88" s="22"/>
      <c r="S88" s="22"/>
      <c r="T88" s="22"/>
      <c r="U88" s="22"/>
      <c r="V88" s="22"/>
      <c r="W88" s="23"/>
    </row>
    <row r="89" spans="1:23">
      <c r="A89" s="42" t="s">
        <v>26</v>
      </c>
      <c r="B89" s="43">
        <v>29</v>
      </c>
      <c r="C89" s="43">
        <v>11</v>
      </c>
      <c r="D89" s="43">
        <v>18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 t="s">
        <v>111</v>
      </c>
      <c r="M89" s="43" t="s">
        <v>112</v>
      </c>
      <c r="N89" s="43">
        <v>0</v>
      </c>
      <c r="O89" s="43">
        <v>1</v>
      </c>
      <c r="P89" s="44">
        <v>311</v>
      </c>
      <c r="Q89" s="22"/>
      <c r="R89" s="22"/>
      <c r="S89" s="22"/>
      <c r="T89" s="22"/>
      <c r="U89" s="22"/>
      <c r="V89" s="22"/>
      <c r="W89" s="23"/>
    </row>
    <row r="90" spans="1:23">
      <c r="A90" s="42" t="s">
        <v>19</v>
      </c>
      <c r="B90" s="45">
        <v>38</v>
      </c>
      <c r="C90" s="45">
        <v>11</v>
      </c>
      <c r="D90" s="45">
        <v>25</v>
      </c>
      <c r="E90" s="45">
        <v>0</v>
      </c>
      <c r="F90" s="45">
        <v>1</v>
      </c>
      <c r="G90" s="45">
        <v>1</v>
      </c>
      <c r="H90" s="45">
        <v>0</v>
      </c>
      <c r="I90" s="45">
        <v>0</v>
      </c>
      <c r="J90" s="45">
        <v>0</v>
      </c>
      <c r="K90" s="45">
        <v>0</v>
      </c>
      <c r="L90" s="45" t="s">
        <v>113</v>
      </c>
      <c r="M90" s="45" t="s">
        <v>114</v>
      </c>
      <c r="N90" s="45">
        <v>1</v>
      </c>
      <c r="O90" s="45">
        <v>0</v>
      </c>
      <c r="P90" s="46">
        <v>320</v>
      </c>
      <c r="Q90" s="22"/>
      <c r="R90" s="22"/>
      <c r="S90" s="22"/>
      <c r="T90" s="22"/>
      <c r="U90" s="22"/>
      <c r="V90" s="22"/>
      <c r="W90" s="23"/>
    </row>
    <row r="91" spans="1:23">
      <c r="A91" s="42" t="s">
        <v>40</v>
      </c>
      <c r="B91" s="43">
        <v>34</v>
      </c>
      <c r="C91" s="43">
        <v>20</v>
      </c>
      <c r="D91" s="43">
        <v>14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 t="s">
        <v>115</v>
      </c>
      <c r="M91" s="43" t="s">
        <v>116</v>
      </c>
      <c r="N91" s="43">
        <v>2</v>
      </c>
      <c r="O91" s="43">
        <v>1</v>
      </c>
      <c r="P91" s="44">
        <v>325</v>
      </c>
      <c r="Q91" s="22"/>
      <c r="R91" s="22"/>
      <c r="S91" s="22"/>
      <c r="T91" s="22"/>
      <c r="U91" s="22"/>
      <c r="V91" s="22"/>
      <c r="W91" s="23"/>
    </row>
    <row r="92" spans="1:23">
      <c r="A92" s="42" t="s">
        <v>36</v>
      </c>
      <c r="B92" s="45">
        <v>33</v>
      </c>
      <c r="C92" s="45">
        <v>14</v>
      </c>
      <c r="D92" s="45">
        <v>18</v>
      </c>
      <c r="E92" s="45">
        <v>0</v>
      </c>
      <c r="F92" s="45">
        <v>0</v>
      </c>
      <c r="G92" s="45">
        <v>1</v>
      </c>
      <c r="H92" s="45">
        <v>0</v>
      </c>
      <c r="I92" s="45">
        <v>0</v>
      </c>
      <c r="J92" s="45">
        <v>0</v>
      </c>
      <c r="K92" s="45">
        <v>0</v>
      </c>
      <c r="L92" s="45" t="s">
        <v>117</v>
      </c>
      <c r="M92" s="45" t="s">
        <v>117</v>
      </c>
      <c r="N92" s="45">
        <v>1</v>
      </c>
      <c r="O92" s="45">
        <v>2</v>
      </c>
      <c r="P92" s="46">
        <v>328</v>
      </c>
      <c r="Q92" s="22"/>
      <c r="R92" s="22"/>
      <c r="S92" s="22"/>
      <c r="T92" s="22"/>
      <c r="U92" s="22"/>
      <c r="V92" s="22"/>
      <c r="W92" s="23"/>
    </row>
    <row r="93" spans="1:23">
      <c r="A93" s="42" t="s">
        <v>44</v>
      </c>
      <c r="B93" s="43">
        <v>32</v>
      </c>
      <c r="C93" s="43">
        <v>13</v>
      </c>
      <c r="D93" s="43">
        <v>15</v>
      </c>
      <c r="E93" s="43">
        <v>0</v>
      </c>
      <c r="F93" s="43">
        <v>0</v>
      </c>
      <c r="G93" s="43">
        <v>3</v>
      </c>
      <c r="H93" s="43">
        <v>1</v>
      </c>
      <c r="I93" s="43">
        <v>0</v>
      </c>
      <c r="J93" s="43">
        <v>0</v>
      </c>
      <c r="K93" s="43">
        <v>0</v>
      </c>
      <c r="L93" s="43" t="s">
        <v>118</v>
      </c>
      <c r="M93" s="43" t="s">
        <v>119</v>
      </c>
      <c r="N93" s="43">
        <v>1</v>
      </c>
      <c r="O93" s="43">
        <v>0</v>
      </c>
      <c r="P93" s="44">
        <v>333</v>
      </c>
      <c r="Q93" s="22"/>
      <c r="R93" s="22"/>
      <c r="S93" s="22"/>
      <c r="T93" s="22"/>
      <c r="U93" s="22"/>
      <c r="V93" s="22"/>
      <c r="W93" s="23"/>
    </row>
    <row r="94" spans="1:23">
      <c r="A94" s="42" t="s">
        <v>27</v>
      </c>
      <c r="B94" s="45">
        <v>40</v>
      </c>
      <c r="C94" s="45">
        <v>13</v>
      </c>
      <c r="D94" s="45">
        <v>25</v>
      </c>
      <c r="E94" s="45">
        <v>0</v>
      </c>
      <c r="F94" s="45">
        <v>0</v>
      </c>
      <c r="G94" s="45">
        <v>0</v>
      </c>
      <c r="H94" s="45">
        <v>2</v>
      </c>
      <c r="I94" s="45">
        <v>0</v>
      </c>
      <c r="J94" s="45">
        <v>0</v>
      </c>
      <c r="K94" s="45">
        <v>0</v>
      </c>
      <c r="L94" s="45" t="s">
        <v>120</v>
      </c>
      <c r="M94" s="45" t="s">
        <v>121</v>
      </c>
      <c r="N94" s="45">
        <v>2</v>
      </c>
      <c r="O94" s="45">
        <v>0</v>
      </c>
      <c r="P94" s="46">
        <v>336</v>
      </c>
      <c r="Q94" s="22"/>
      <c r="R94" s="22"/>
      <c r="S94" s="22"/>
      <c r="T94" s="22"/>
      <c r="U94" s="22"/>
      <c r="V94" s="22"/>
      <c r="W94" s="23"/>
    </row>
    <row r="95" spans="1:23">
      <c r="A95" s="42" t="s">
        <v>28</v>
      </c>
      <c r="B95" s="43">
        <v>35</v>
      </c>
      <c r="C95" s="43">
        <v>16</v>
      </c>
      <c r="D95" s="43">
        <v>16</v>
      </c>
      <c r="E95" s="43">
        <v>0</v>
      </c>
      <c r="F95" s="43">
        <v>1</v>
      </c>
      <c r="G95" s="43">
        <v>2</v>
      </c>
      <c r="H95" s="43">
        <v>0</v>
      </c>
      <c r="I95" s="43">
        <v>0</v>
      </c>
      <c r="J95" s="43">
        <v>0</v>
      </c>
      <c r="K95" s="43">
        <v>0</v>
      </c>
      <c r="L95" s="43" t="s">
        <v>122</v>
      </c>
      <c r="M95" s="43" t="s">
        <v>123</v>
      </c>
      <c r="N95" s="43">
        <v>2</v>
      </c>
      <c r="O95" s="43">
        <v>0</v>
      </c>
      <c r="P95" s="44">
        <v>340</v>
      </c>
      <c r="Q95" s="22"/>
      <c r="R95" s="22"/>
      <c r="S95" s="22"/>
      <c r="T95" s="22"/>
      <c r="U95" s="22"/>
      <c r="V95" s="22"/>
      <c r="W95" s="23"/>
    </row>
    <row r="96" spans="1:23">
      <c r="A96" s="42" t="s">
        <v>17</v>
      </c>
      <c r="B96" s="45">
        <v>38</v>
      </c>
      <c r="C96" s="45">
        <v>8</v>
      </c>
      <c r="D96" s="45">
        <v>26</v>
      </c>
      <c r="E96" s="45">
        <v>0</v>
      </c>
      <c r="F96" s="45">
        <v>1</v>
      </c>
      <c r="G96" s="45">
        <v>2</v>
      </c>
      <c r="H96" s="45">
        <v>0</v>
      </c>
      <c r="I96" s="45">
        <v>1</v>
      </c>
      <c r="J96" s="45">
        <v>0</v>
      </c>
      <c r="K96" s="45">
        <v>0</v>
      </c>
      <c r="L96" s="45" t="s">
        <v>117</v>
      </c>
      <c r="M96" s="45" t="s">
        <v>124</v>
      </c>
      <c r="N96" s="45">
        <v>3</v>
      </c>
      <c r="O96" s="45">
        <v>0</v>
      </c>
      <c r="P96" s="46">
        <v>346</v>
      </c>
      <c r="Q96" s="22"/>
      <c r="R96" s="22"/>
      <c r="S96" s="22"/>
      <c r="T96" s="22"/>
      <c r="U96" s="22"/>
      <c r="V96" s="22"/>
      <c r="W96" s="23"/>
    </row>
    <row r="97" spans="1:23">
      <c r="A97" s="42" t="s">
        <v>31</v>
      </c>
      <c r="B97" s="43">
        <v>39</v>
      </c>
      <c r="C97" s="43">
        <v>15</v>
      </c>
      <c r="D97" s="43">
        <v>24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 t="s">
        <v>125</v>
      </c>
      <c r="M97" s="43" t="s">
        <v>126</v>
      </c>
      <c r="N97" s="43">
        <v>3</v>
      </c>
      <c r="O97" s="43">
        <v>0</v>
      </c>
      <c r="P97" s="44">
        <v>360</v>
      </c>
      <c r="Q97" s="22"/>
      <c r="R97" s="22"/>
      <c r="S97" s="22"/>
      <c r="T97" s="22"/>
      <c r="U97" s="22"/>
      <c r="V97" s="22"/>
      <c r="W97" s="23"/>
    </row>
    <row r="98" spans="1:23">
      <c r="A98" s="42" t="s">
        <v>20</v>
      </c>
      <c r="B98" s="45">
        <v>43</v>
      </c>
      <c r="C98" s="45">
        <v>24</v>
      </c>
      <c r="D98" s="45">
        <v>19</v>
      </c>
      <c r="E98" s="45">
        <v>0</v>
      </c>
      <c r="F98" s="45">
        <v>0</v>
      </c>
      <c r="G98" s="45">
        <v>0</v>
      </c>
      <c r="H98" s="45">
        <v>0</v>
      </c>
      <c r="I98" s="45">
        <v>0</v>
      </c>
      <c r="J98" s="45">
        <v>0</v>
      </c>
      <c r="K98" s="45">
        <v>0</v>
      </c>
      <c r="L98" s="45" t="s">
        <v>127</v>
      </c>
      <c r="M98" s="45" t="s">
        <v>128</v>
      </c>
      <c r="N98" s="45">
        <v>2</v>
      </c>
      <c r="O98" s="45">
        <v>0</v>
      </c>
      <c r="P98" s="46">
        <v>365</v>
      </c>
      <c r="Q98" s="22"/>
      <c r="R98" s="22"/>
      <c r="S98" s="22"/>
      <c r="T98" s="22"/>
      <c r="U98" s="22"/>
      <c r="V98" s="22"/>
      <c r="W98" s="23"/>
    </row>
    <row r="99" spans="1:23">
      <c r="A99" s="42" t="s">
        <v>23</v>
      </c>
      <c r="B99" s="43">
        <v>44</v>
      </c>
      <c r="C99" s="43">
        <v>13</v>
      </c>
      <c r="D99" s="43">
        <v>29</v>
      </c>
      <c r="E99" s="43">
        <v>0</v>
      </c>
      <c r="F99" s="43">
        <v>1</v>
      </c>
      <c r="G99" s="43">
        <v>1</v>
      </c>
      <c r="H99" s="43">
        <v>0</v>
      </c>
      <c r="I99" s="43">
        <v>0</v>
      </c>
      <c r="J99" s="43">
        <v>0</v>
      </c>
      <c r="K99" s="43">
        <v>0</v>
      </c>
      <c r="L99" s="43" t="s">
        <v>129</v>
      </c>
      <c r="M99" s="43" t="s">
        <v>130</v>
      </c>
      <c r="N99" s="43">
        <v>1</v>
      </c>
      <c r="O99" s="43">
        <v>1</v>
      </c>
      <c r="P99" s="44">
        <v>371</v>
      </c>
      <c r="Q99" s="22"/>
      <c r="R99" s="22"/>
      <c r="S99" s="22"/>
      <c r="T99" s="22"/>
      <c r="U99" s="22"/>
      <c r="V99" s="22"/>
      <c r="W99" s="23"/>
    </row>
    <row r="100" spans="1:23">
      <c r="A100" s="42" t="s">
        <v>46</v>
      </c>
      <c r="B100" s="45">
        <v>43</v>
      </c>
      <c r="C100" s="45">
        <v>14</v>
      </c>
      <c r="D100" s="45">
        <v>25</v>
      </c>
      <c r="E100" s="45">
        <v>1</v>
      </c>
      <c r="F100" s="45">
        <v>2</v>
      </c>
      <c r="G100" s="45">
        <v>0</v>
      </c>
      <c r="H100" s="45">
        <v>1</v>
      </c>
      <c r="I100" s="45">
        <v>0</v>
      </c>
      <c r="J100" s="45">
        <v>0</v>
      </c>
      <c r="K100" s="45">
        <v>0</v>
      </c>
      <c r="L100" s="45" t="s">
        <v>131</v>
      </c>
      <c r="M100" s="45" t="s">
        <v>132</v>
      </c>
      <c r="N100" s="45">
        <v>0</v>
      </c>
      <c r="O100" s="45">
        <v>1</v>
      </c>
      <c r="P100" s="46">
        <v>379</v>
      </c>
      <c r="Q100" s="22"/>
      <c r="R100" s="22"/>
      <c r="S100" s="22"/>
      <c r="T100" s="22"/>
      <c r="U100" s="22"/>
      <c r="V100" s="22"/>
      <c r="W100" s="23"/>
    </row>
    <row r="101" spans="1:23">
      <c r="A101" s="42" t="s">
        <v>43</v>
      </c>
      <c r="B101" s="43">
        <v>42</v>
      </c>
      <c r="C101" s="43">
        <v>20</v>
      </c>
      <c r="D101" s="43">
        <v>20</v>
      </c>
      <c r="E101" s="43">
        <v>0</v>
      </c>
      <c r="F101" s="43">
        <v>1</v>
      </c>
      <c r="G101" s="43">
        <v>0</v>
      </c>
      <c r="H101" s="43">
        <v>1</v>
      </c>
      <c r="I101" s="43">
        <v>0</v>
      </c>
      <c r="J101" s="43">
        <v>0</v>
      </c>
      <c r="K101" s="43">
        <v>0</v>
      </c>
      <c r="L101" s="43" t="s">
        <v>133</v>
      </c>
      <c r="M101" s="43" t="s">
        <v>126</v>
      </c>
      <c r="N101" s="43">
        <v>0</v>
      </c>
      <c r="O101" s="43">
        <v>0</v>
      </c>
      <c r="P101" s="44">
        <v>380</v>
      </c>
      <c r="Q101" s="22"/>
      <c r="R101" s="22"/>
      <c r="S101" s="22"/>
      <c r="T101" s="22"/>
      <c r="U101" s="22"/>
      <c r="V101" s="22"/>
      <c r="W101" s="23"/>
    </row>
    <row r="102" spans="1:23">
      <c r="A102" s="42" t="s">
        <v>39</v>
      </c>
      <c r="B102" s="45">
        <v>39</v>
      </c>
      <c r="C102" s="45">
        <v>12</v>
      </c>
      <c r="D102" s="45">
        <v>25</v>
      </c>
      <c r="E102" s="45">
        <v>0</v>
      </c>
      <c r="F102" s="45">
        <v>1</v>
      </c>
      <c r="G102" s="45">
        <v>1</v>
      </c>
      <c r="H102" s="45">
        <v>0</v>
      </c>
      <c r="I102" s="45">
        <v>0</v>
      </c>
      <c r="J102" s="45">
        <v>0</v>
      </c>
      <c r="K102" s="45">
        <v>0</v>
      </c>
      <c r="L102" s="45" t="s">
        <v>134</v>
      </c>
      <c r="M102" s="45" t="s">
        <v>135</v>
      </c>
      <c r="N102" s="45">
        <v>2</v>
      </c>
      <c r="O102" s="45">
        <v>0</v>
      </c>
      <c r="P102" s="46">
        <v>383</v>
      </c>
      <c r="Q102" s="22"/>
      <c r="R102" s="22"/>
      <c r="S102" s="22"/>
      <c r="T102" s="22"/>
      <c r="U102" s="22"/>
      <c r="V102" s="22"/>
      <c r="W102" s="23"/>
    </row>
    <row r="103" spans="1:23">
      <c r="A103" s="42" t="s">
        <v>41</v>
      </c>
      <c r="B103" s="43">
        <v>42</v>
      </c>
      <c r="C103" s="43">
        <v>10</v>
      </c>
      <c r="D103" s="43">
        <v>30</v>
      </c>
      <c r="E103" s="43">
        <v>0</v>
      </c>
      <c r="F103" s="43">
        <v>0</v>
      </c>
      <c r="G103" s="43">
        <v>0</v>
      </c>
      <c r="H103" s="43">
        <v>1</v>
      </c>
      <c r="I103" s="43">
        <v>0</v>
      </c>
      <c r="J103" s="43">
        <v>0</v>
      </c>
      <c r="K103" s="43">
        <v>0</v>
      </c>
      <c r="L103" s="43" t="s">
        <v>113</v>
      </c>
      <c r="M103" s="43" t="s">
        <v>136</v>
      </c>
      <c r="N103" s="43">
        <v>2</v>
      </c>
      <c r="O103" s="43">
        <v>1</v>
      </c>
      <c r="P103" s="44">
        <v>387</v>
      </c>
      <c r="Q103" s="22"/>
      <c r="R103" s="22"/>
      <c r="S103" s="22"/>
      <c r="T103" s="22"/>
      <c r="U103" s="22"/>
      <c r="V103" s="22"/>
      <c r="W103" s="23"/>
    </row>
    <row r="104" spans="1:23">
      <c r="A104" s="42" t="s">
        <v>32</v>
      </c>
      <c r="B104" s="45">
        <v>42</v>
      </c>
      <c r="C104" s="45">
        <v>18</v>
      </c>
      <c r="D104" s="45">
        <v>23</v>
      </c>
      <c r="E104" s="45">
        <v>0</v>
      </c>
      <c r="F104" s="45">
        <v>0</v>
      </c>
      <c r="G104" s="45">
        <v>1</v>
      </c>
      <c r="H104" s="45">
        <v>0</v>
      </c>
      <c r="I104" s="45">
        <v>0</v>
      </c>
      <c r="J104" s="45">
        <v>0</v>
      </c>
      <c r="K104" s="45">
        <v>0</v>
      </c>
      <c r="L104" s="45" t="s">
        <v>137</v>
      </c>
      <c r="M104" s="45" t="s">
        <v>138</v>
      </c>
      <c r="N104" s="45">
        <v>1</v>
      </c>
      <c r="O104" s="45">
        <v>0</v>
      </c>
      <c r="P104" s="46">
        <v>398</v>
      </c>
      <c r="Q104" s="22"/>
      <c r="R104" s="22"/>
      <c r="S104" s="22"/>
      <c r="T104" s="22"/>
      <c r="U104" s="22"/>
      <c r="V104" s="22"/>
      <c r="W104" s="23"/>
    </row>
    <row r="105" spans="1:23">
      <c r="A105" s="42" t="s">
        <v>30</v>
      </c>
      <c r="B105" s="43">
        <v>43</v>
      </c>
      <c r="C105" s="43">
        <v>12</v>
      </c>
      <c r="D105" s="43">
        <v>27</v>
      </c>
      <c r="E105" s="43">
        <v>1</v>
      </c>
      <c r="F105" s="43">
        <v>0</v>
      </c>
      <c r="G105" s="43">
        <v>2</v>
      </c>
      <c r="H105" s="43">
        <v>0</v>
      </c>
      <c r="I105" s="43">
        <v>1</v>
      </c>
      <c r="J105" s="43">
        <v>0</v>
      </c>
      <c r="K105" s="43">
        <v>0</v>
      </c>
      <c r="L105" s="43" t="s">
        <v>134</v>
      </c>
      <c r="M105" s="43" t="s">
        <v>139</v>
      </c>
      <c r="N105" s="43">
        <v>3</v>
      </c>
      <c r="O105" s="43">
        <v>0</v>
      </c>
      <c r="P105" s="44">
        <v>401</v>
      </c>
      <c r="Q105" s="22"/>
      <c r="R105" s="22"/>
      <c r="S105" s="22"/>
      <c r="T105" s="22"/>
      <c r="U105" s="22"/>
      <c r="V105" s="22"/>
      <c r="W105" s="23"/>
    </row>
    <row r="106" spans="1:23">
      <c r="A106" s="42" t="s">
        <v>37</v>
      </c>
      <c r="B106" s="45">
        <v>49</v>
      </c>
      <c r="C106" s="45">
        <v>16</v>
      </c>
      <c r="D106" s="45">
        <v>30</v>
      </c>
      <c r="E106" s="45">
        <v>0</v>
      </c>
      <c r="F106" s="45">
        <v>0</v>
      </c>
      <c r="G106" s="45">
        <v>1</v>
      </c>
      <c r="H106" s="45">
        <v>0</v>
      </c>
      <c r="I106" s="45">
        <v>1</v>
      </c>
      <c r="J106" s="45">
        <v>1</v>
      </c>
      <c r="K106" s="45">
        <v>0</v>
      </c>
      <c r="L106" s="45" t="s">
        <v>140</v>
      </c>
      <c r="M106" s="45" t="s">
        <v>141</v>
      </c>
      <c r="N106" s="45">
        <v>0</v>
      </c>
      <c r="O106" s="45">
        <v>0</v>
      </c>
      <c r="P106" s="46">
        <v>411</v>
      </c>
      <c r="Q106" s="22"/>
      <c r="R106" s="22"/>
      <c r="S106" s="22"/>
      <c r="T106" s="22"/>
      <c r="U106" s="22"/>
      <c r="V106" s="22"/>
      <c r="W106" s="23"/>
    </row>
    <row r="107" spans="1:23">
      <c r="A107" s="42" t="s">
        <v>25</v>
      </c>
      <c r="B107" s="43">
        <v>42</v>
      </c>
      <c r="C107" s="43">
        <v>16</v>
      </c>
      <c r="D107" s="43">
        <v>24</v>
      </c>
      <c r="E107" s="43">
        <v>0</v>
      </c>
      <c r="F107" s="43">
        <v>0</v>
      </c>
      <c r="G107" s="43">
        <v>1</v>
      </c>
      <c r="H107" s="43">
        <v>1</v>
      </c>
      <c r="I107" s="43">
        <v>0</v>
      </c>
      <c r="J107" s="43">
        <v>0</v>
      </c>
      <c r="K107" s="43">
        <v>0</v>
      </c>
      <c r="L107" s="43" t="s">
        <v>142</v>
      </c>
      <c r="M107" s="43" t="s">
        <v>143</v>
      </c>
      <c r="N107" s="43">
        <v>3</v>
      </c>
      <c r="O107" s="43">
        <v>1</v>
      </c>
      <c r="P107" s="44">
        <v>412</v>
      </c>
      <c r="Q107" s="22"/>
      <c r="R107" s="22"/>
      <c r="S107" s="22"/>
      <c r="T107" s="22"/>
      <c r="U107" s="22"/>
      <c r="V107" s="22"/>
      <c r="W107" s="23"/>
    </row>
    <row r="108" spans="1:23">
      <c r="A108" s="42" t="s">
        <v>21</v>
      </c>
      <c r="B108" s="45">
        <v>47</v>
      </c>
      <c r="C108" s="45">
        <v>16</v>
      </c>
      <c r="D108" s="45">
        <v>31</v>
      </c>
      <c r="E108" s="45">
        <v>0</v>
      </c>
      <c r="F108" s="45">
        <v>0</v>
      </c>
      <c r="G108" s="45">
        <v>0</v>
      </c>
      <c r="H108" s="45">
        <v>0</v>
      </c>
      <c r="I108" s="45">
        <v>0</v>
      </c>
      <c r="J108" s="45">
        <v>0</v>
      </c>
      <c r="K108" s="45">
        <v>0</v>
      </c>
      <c r="L108" s="45" t="s">
        <v>144</v>
      </c>
      <c r="M108" s="45" t="s">
        <v>145</v>
      </c>
      <c r="N108" s="45">
        <v>3</v>
      </c>
      <c r="O108" s="45">
        <v>1</v>
      </c>
      <c r="P108" s="46">
        <v>413</v>
      </c>
      <c r="Q108" s="22"/>
      <c r="R108" s="22"/>
      <c r="S108" s="22"/>
      <c r="T108" s="22"/>
      <c r="U108" s="22"/>
      <c r="V108" s="22"/>
      <c r="W108" s="23"/>
    </row>
    <row r="109" spans="1:23">
      <c r="A109" s="42" t="s">
        <v>22</v>
      </c>
      <c r="B109" s="43">
        <v>49</v>
      </c>
      <c r="C109" s="43">
        <v>15</v>
      </c>
      <c r="D109" s="43">
        <v>32</v>
      </c>
      <c r="E109" s="43">
        <v>1</v>
      </c>
      <c r="F109" s="43">
        <v>0</v>
      </c>
      <c r="G109" s="43">
        <v>0</v>
      </c>
      <c r="H109" s="43">
        <v>1</v>
      </c>
      <c r="I109" s="43">
        <v>0</v>
      </c>
      <c r="J109" s="43">
        <v>0</v>
      </c>
      <c r="K109" s="43">
        <v>0</v>
      </c>
      <c r="L109" s="43" t="s">
        <v>146</v>
      </c>
      <c r="M109" s="43" t="s">
        <v>147</v>
      </c>
      <c r="N109" s="43">
        <v>3</v>
      </c>
      <c r="O109" s="43">
        <v>0</v>
      </c>
      <c r="P109" s="44">
        <v>415</v>
      </c>
      <c r="Q109" s="22"/>
      <c r="R109" s="22"/>
      <c r="S109" s="22"/>
      <c r="T109" s="22"/>
      <c r="U109" s="22"/>
      <c r="V109" s="22"/>
      <c r="W109" s="23"/>
    </row>
    <row r="110" spans="1:23">
      <c r="A110" s="42" t="s">
        <v>42</v>
      </c>
      <c r="B110" s="45">
        <v>50</v>
      </c>
      <c r="C110" s="45">
        <v>18</v>
      </c>
      <c r="D110" s="45">
        <v>29</v>
      </c>
      <c r="E110" s="45">
        <v>1</v>
      </c>
      <c r="F110" s="45">
        <v>1</v>
      </c>
      <c r="G110" s="45">
        <v>1</v>
      </c>
      <c r="H110" s="45">
        <v>0</v>
      </c>
      <c r="I110" s="45">
        <v>0</v>
      </c>
      <c r="J110" s="45">
        <v>0</v>
      </c>
      <c r="K110" s="45">
        <v>0</v>
      </c>
      <c r="L110" s="45" t="s">
        <v>148</v>
      </c>
      <c r="M110" s="45" t="s">
        <v>149</v>
      </c>
      <c r="N110" s="45">
        <v>3</v>
      </c>
      <c r="O110" s="45">
        <v>0</v>
      </c>
      <c r="P110" s="46">
        <v>424</v>
      </c>
      <c r="Q110" s="22"/>
      <c r="R110" s="22"/>
      <c r="S110" s="22"/>
      <c r="T110" s="22"/>
      <c r="U110" s="22"/>
      <c r="V110" s="22"/>
      <c r="W110" s="23"/>
    </row>
    <row r="111" spans="1:23">
      <c r="A111" s="42" t="s">
        <v>48</v>
      </c>
      <c r="B111" s="43">
        <v>49</v>
      </c>
      <c r="C111" s="43">
        <v>22</v>
      </c>
      <c r="D111" s="43">
        <v>23</v>
      </c>
      <c r="E111" s="43">
        <v>1</v>
      </c>
      <c r="F111" s="43">
        <v>2</v>
      </c>
      <c r="G111" s="43">
        <v>1</v>
      </c>
      <c r="H111" s="43">
        <v>0</v>
      </c>
      <c r="I111" s="43">
        <v>0</v>
      </c>
      <c r="J111" s="43">
        <v>0</v>
      </c>
      <c r="K111" s="43">
        <v>0</v>
      </c>
      <c r="L111" s="43" t="s">
        <v>150</v>
      </c>
      <c r="M111" s="43" t="s">
        <v>151</v>
      </c>
      <c r="N111" s="43">
        <v>1</v>
      </c>
      <c r="O111" s="43">
        <v>1</v>
      </c>
      <c r="P111" s="44">
        <v>432</v>
      </c>
      <c r="Q111" s="22"/>
      <c r="R111" s="22"/>
      <c r="S111" s="22"/>
      <c r="T111" s="22"/>
      <c r="U111" s="22"/>
      <c r="V111" s="22"/>
      <c r="W111" s="23"/>
    </row>
    <row r="112" spans="1:23">
      <c r="A112" s="42" t="s">
        <v>29</v>
      </c>
      <c r="B112" s="45">
        <v>49</v>
      </c>
      <c r="C112" s="45">
        <v>21</v>
      </c>
      <c r="D112" s="45">
        <v>25</v>
      </c>
      <c r="E112" s="45">
        <v>0</v>
      </c>
      <c r="F112" s="45">
        <v>2</v>
      </c>
      <c r="G112" s="45">
        <v>0</v>
      </c>
      <c r="H112" s="45">
        <v>1</v>
      </c>
      <c r="I112" s="45">
        <v>0</v>
      </c>
      <c r="J112" s="45">
        <v>0</v>
      </c>
      <c r="K112" s="45">
        <v>0</v>
      </c>
      <c r="L112" s="45" t="s">
        <v>152</v>
      </c>
      <c r="M112" s="45" t="s">
        <v>153</v>
      </c>
      <c r="N112" s="45">
        <v>4</v>
      </c>
      <c r="O112" s="45">
        <v>0</v>
      </c>
      <c r="P112" s="46">
        <v>439</v>
      </c>
      <c r="Q112" s="22"/>
      <c r="R112" s="22"/>
      <c r="S112" s="22"/>
      <c r="T112" s="22"/>
      <c r="U112" s="22"/>
      <c r="V112" s="22"/>
      <c r="W112" s="23"/>
    </row>
    <row r="113" spans="1:23">
      <c r="A113" s="42" t="s">
        <v>38</v>
      </c>
      <c r="B113" s="43">
        <v>52</v>
      </c>
      <c r="C113" s="43">
        <v>18</v>
      </c>
      <c r="D113" s="43">
        <v>33</v>
      </c>
      <c r="E113" s="43">
        <v>0</v>
      </c>
      <c r="F113" s="43">
        <v>0</v>
      </c>
      <c r="G113" s="43">
        <v>1</v>
      </c>
      <c r="H113" s="43">
        <v>0</v>
      </c>
      <c r="I113" s="43">
        <v>0</v>
      </c>
      <c r="J113" s="43">
        <v>0</v>
      </c>
      <c r="K113" s="43">
        <v>0</v>
      </c>
      <c r="L113" s="43" t="s">
        <v>154</v>
      </c>
      <c r="M113" s="43" t="s">
        <v>155</v>
      </c>
      <c r="N113" s="43">
        <v>3</v>
      </c>
      <c r="O113" s="43">
        <v>0</v>
      </c>
      <c r="P113" s="44">
        <v>451</v>
      </c>
      <c r="Q113" s="22"/>
      <c r="R113" s="22"/>
      <c r="S113" s="22"/>
      <c r="T113" s="22"/>
      <c r="U113" s="22"/>
      <c r="V113" s="22"/>
      <c r="W113" s="23"/>
    </row>
    <row r="114" spans="1:23">
      <c r="A114" s="42" t="s">
        <v>47</v>
      </c>
      <c r="B114" s="45">
        <v>55</v>
      </c>
      <c r="C114" s="45">
        <v>21</v>
      </c>
      <c r="D114" s="45">
        <v>30</v>
      </c>
      <c r="E114" s="45">
        <v>0</v>
      </c>
      <c r="F114" s="45">
        <v>0</v>
      </c>
      <c r="G114" s="45">
        <v>2</v>
      </c>
      <c r="H114" s="45">
        <v>2</v>
      </c>
      <c r="I114" s="45">
        <v>0</v>
      </c>
      <c r="J114" s="45">
        <v>0</v>
      </c>
      <c r="K114" s="45">
        <v>0</v>
      </c>
      <c r="L114" s="45" t="s">
        <v>156</v>
      </c>
      <c r="M114" s="45" t="s">
        <v>123</v>
      </c>
      <c r="N114" s="45">
        <v>1</v>
      </c>
      <c r="O114" s="45">
        <v>0</v>
      </c>
      <c r="P114" s="46">
        <v>478</v>
      </c>
      <c r="Q114" s="22"/>
      <c r="R114" s="22"/>
      <c r="S114" s="22"/>
      <c r="T114" s="22"/>
      <c r="U114" s="22"/>
      <c r="V114" s="22"/>
      <c r="W114" s="23"/>
    </row>
    <row r="115" spans="1:23">
      <c r="A115" s="42" t="s">
        <v>35</v>
      </c>
      <c r="B115" s="43">
        <v>55</v>
      </c>
      <c r="C115" s="43">
        <v>19</v>
      </c>
      <c r="D115" s="43">
        <v>31</v>
      </c>
      <c r="E115" s="43">
        <v>0</v>
      </c>
      <c r="F115" s="43">
        <v>0</v>
      </c>
      <c r="G115" s="43">
        <v>0</v>
      </c>
      <c r="H115" s="43">
        <v>4</v>
      </c>
      <c r="I115" s="43">
        <v>0</v>
      </c>
      <c r="J115" s="43">
        <v>1</v>
      </c>
      <c r="K115" s="43">
        <v>0</v>
      </c>
      <c r="L115" s="43" t="s">
        <v>157</v>
      </c>
      <c r="M115" s="43" t="s">
        <v>158</v>
      </c>
      <c r="N115" s="43">
        <v>0</v>
      </c>
      <c r="O115" s="43">
        <v>0</v>
      </c>
      <c r="P115" s="44">
        <v>488</v>
      </c>
      <c r="Q115" s="22"/>
      <c r="R115" s="22"/>
      <c r="S115" s="22"/>
      <c r="T115" s="22"/>
      <c r="U115" s="22"/>
      <c r="V115" s="22"/>
      <c r="W115" s="23"/>
    </row>
    <row r="116" spans="1:23">
      <c r="A116" s="42" t="s">
        <v>33</v>
      </c>
      <c r="B116" s="45">
        <v>60</v>
      </c>
      <c r="C116" s="45">
        <v>18</v>
      </c>
      <c r="D116" s="45">
        <v>33</v>
      </c>
      <c r="E116" s="45">
        <v>0</v>
      </c>
      <c r="F116" s="45">
        <v>0</v>
      </c>
      <c r="G116" s="45">
        <v>6</v>
      </c>
      <c r="H116" s="45">
        <v>3</v>
      </c>
      <c r="I116" s="45">
        <v>0</v>
      </c>
      <c r="J116" s="45">
        <v>0</v>
      </c>
      <c r="K116" s="45">
        <v>0</v>
      </c>
      <c r="L116" s="45" t="s">
        <v>159</v>
      </c>
      <c r="M116" s="45" t="s">
        <v>128</v>
      </c>
      <c r="N116" s="45">
        <v>3</v>
      </c>
      <c r="O116" s="45">
        <v>1</v>
      </c>
      <c r="P116" s="46">
        <v>492</v>
      </c>
      <c r="Q116" s="22"/>
      <c r="R116" s="22"/>
      <c r="S116" s="22"/>
      <c r="T116" s="22"/>
      <c r="U116" s="22"/>
      <c r="V116" s="22"/>
      <c r="W116" s="23"/>
    </row>
    <row r="117" spans="1:23">
      <c r="A117" s="42" t="s">
        <v>45</v>
      </c>
      <c r="B117" s="43">
        <v>57</v>
      </c>
      <c r="C117" s="43">
        <v>20</v>
      </c>
      <c r="D117" s="43">
        <v>36</v>
      </c>
      <c r="E117" s="43">
        <v>0</v>
      </c>
      <c r="F117" s="43">
        <v>0</v>
      </c>
      <c r="G117" s="43">
        <v>1</v>
      </c>
      <c r="H117" s="43">
        <v>0</v>
      </c>
      <c r="I117" s="43">
        <v>0</v>
      </c>
      <c r="J117" s="43">
        <v>0</v>
      </c>
      <c r="K117" s="43">
        <v>0</v>
      </c>
      <c r="L117" s="43" t="s">
        <v>160</v>
      </c>
      <c r="M117" s="43" t="s">
        <v>161</v>
      </c>
      <c r="N117" s="43">
        <v>1</v>
      </c>
      <c r="O117" s="43">
        <v>0</v>
      </c>
      <c r="P117" s="44">
        <v>503</v>
      </c>
      <c r="Q117" s="22"/>
      <c r="R117" s="22"/>
      <c r="S117" s="22"/>
      <c r="T117" s="22"/>
      <c r="U117" s="22"/>
      <c r="V117" s="22"/>
      <c r="W117" s="23"/>
    </row>
    <row r="118" spans="1:23">
      <c r="A118" s="47" t="s">
        <v>18</v>
      </c>
      <c r="B118" s="48">
        <v>59</v>
      </c>
      <c r="C118" s="48">
        <v>24</v>
      </c>
      <c r="D118" s="48">
        <v>35</v>
      </c>
      <c r="E118" s="48">
        <v>0</v>
      </c>
      <c r="F118" s="48">
        <v>0</v>
      </c>
      <c r="G118" s="48">
        <v>0</v>
      </c>
      <c r="H118" s="48">
        <v>0</v>
      </c>
      <c r="I118" s="48">
        <v>0</v>
      </c>
      <c r="J118" s="48">
        <v>0</v>
      </c>
      <c r="K118" s="48">
        <v>0</v>
      </c>
      <c r="L118" s="48" t="s">
        <v>162</v>
      </c>
      <c r="M118" s="48" t="s">
        <v>163</v>
      </c>
      <c r="N118" s="48">
        <v>3</v>
      </c>
      <c r="O118" s="48">
        <v>1</v>
      </c>
      <c r="P118" s="49">
        <v>511</v>
      </c>
      <c r="Q118" s="22"/>
      <c r="R118" s="22"/>
      <c r="S118" s="22"/>
      <c r="T118" s="22"/>
      <c r="U118" s="22"/>
      <c r="V118" s="22"/>
      <c r="W118" s="23"/>
    </row>
    <row r="119" spans="1:23">
      <c r="A119" s="21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3"/>
    </row>
    <row r="120" spans="1:23">
      <c r="A120" s="50" t="s">
        <v>164</v>
      </c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3"/>
    </row>
    <row r="121" spans="1:23">
      <c r="A121" s="21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3"/>
    </row>
    <row r="122" spans="1:23">
      <c r="A122" s="21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3"/>
    </row>
    <row r="123" spans="1:23">
      <c r="A123" s="21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3"/>
    </row>
    <row r="124" spans="1:23">
      <c r="A124" s="21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3"/>
    </row>
    <row r="125" spans="1:23">
      <c r="A125" s="21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3"/>
    </row>
    <row r="126" spans="1:23">
      <c r="A126" s="21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3"/>
    </row>
    <row r="127" spans="1:23">
      <c r="A127" s="21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3"/>
    </row>
    <row r="128" spans="1:23">
      <c r="A128" s="21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3"/>
    </row>
    <row r="129" spans="1:23">
      <c r="A129" s="21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3"/>
    </row>
    <row r="130" spans="1:23">
      <c r="A130" s="21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3"/>
    </row>
    <row r="131" spans="1:23">
      <c r="A131" s="21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3"/>
    </row>
    <row r="132" spans="1:23">
      <c r="A132" s="21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3"/>
    </row>
    <row r="133" spans="1:23">
      <c r="A133" s="21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3"/>
    </row>
    <row r="134" spans="1:23">
      <c r="A134" s="21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3"/>
    </row>
    <row r="135" spans="1:23">
      <c r="A135" s="21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3"/>
    </row>
    <row r="136" spans="1:23">
      <c r="A136" s="21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3"/>
    </row>
    <row r="137" spans="1:23">
      <c r="A137" s="21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3"/>
    </row>
    <row r="138" spans="1:23">
      <c r="A138" s="21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3"/>
    </row>
    <row r="139" spans="1:23">
      <c r="A139" s="21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3"/>
    </row>
    <row r="140" spans="1:23">
      <c r="A140" s="21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3"/>
    </row>
    <row r="141" spans="1:23">
      <c r="A141" s="21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3"/>
    </row>
    <row r="142" spans="1:23">
      <c r="A142" s="21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3"/>
    </row>
    <row r="143" spans="1:23">
      <c r="A143" s="21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3"/>
    </row>
    <row r="144" spans="1:23">
      <c r="A144" s="21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3"/>
    </row>
    <row r="145" spans="1:23">
      <c r="A145" s="21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3"/>
    </row>
    <row r="146" spans="1:23">
      <c r="A146" s="21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3"/>
    </row>
    <row r="147" spans="1:23">
      <c r="A147" s="21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3"/>
    </row>
    <row r="148" spans="1:23">
      <c r="A148" s="21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3"/>
    </row>
    <row r="149" spans="1:23">
      <c r="A149" s="21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3"/>
    </row>
    <row r="150" spans="1:23">
      <c r="A150" s="21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3"/>
    </row>
    <row r="151" spans="1:23">
      <c r="A151" s="21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3"/>
    </row>
    <row r="152" spans="1:23">
      <c r="A152" s="21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3"/>
    </row>
    <row r="153" spans="1:23">
      <c r="A153" s="21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3"/>
    </row>
    <row r="154" spans="1:23">
      <c r="A154" s="21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3"/>
    </row>
    <row r="155" spans="1:23">
      <c r="A155" s="21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3"/>
    </row>
    <row r="156" spans="1:23">
      <c r="A156" s="21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3"/>
    </row>
    <row r="157" spans="1:23">
      <c r="A157" s="21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3"/>
    </row>
    <row r="158" spans="1:23">
      <c r="A158" s="21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3"/>
    </row>
    <row r="159" spans="1:23">
      <c r="A159" s="21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3"/>
    </row>
    <row r="160" spans="1:23">
      <c r="A160" s="21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3"/>
    </row>
    <row r="161" spans="1:23">
      <c r="A161" s="21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3"/>
    </row>
    <row r="162" spans="1:23">
      <c r="A162" s="21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3"/>
    </row>
    <row r="163" spans="1:23">
      <c r="A163" s="21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3"/>
    </row>
    <row r="164" spans="1:23">
      <c r="A164" s="21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3"/>
    </row>
    <row r="165" spans="1:23">
      <c r="A165" s="21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3"/>
    </row>
    <row r="166" spans="1:23">
      <c r="A166" s="21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3"/>
    </row>
    <row r="167" spans="1:23">
      <c r="A167" s="21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3"/>
    </row>
    <row r="168" spans="1:23">
      <c r="A168" s="21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3"/>
    </row>
    <row r="169" spans="1:23">
      <c r="A169" s="21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3"/>
    </row>
    <row r="170" spans="1:23">
      <c r="A170" s="21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3"/>
    </row>
    <row r="171" spans="1:23">
      <c r="A171" s="21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3"/>
    </row>
    <row r="172" spans="1:23">
      <c r="A172" s="21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3"/>
    </row>
    <row r="173" spans="1:23">
      <c r="A173" s="21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3"/>
    </row>
    <row r="174" spans="1:23">
      <c r="A174" s="21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3"/>
    </row>
    <row r="175" spans="1:23">
      <c r="A175" s="21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3"/>
    </row>
    <row r="176" spans="1:23">
      <c r="A176" s="21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3"/>
    </row>
    <row r="177" spans="1:23">
      <c r="A177" s="21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3"/>
    </row>
    <row r="178" spans="1:23">
      <c r="A178" s="21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3"/>
    </row>
    <row r="179" spans="1:23">
      <c r="A179" s="21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3"/>
    </row>
    <row r="180" spans="1:23">
      <c r="A180" s="21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3"/>
    </row>
    <row r="181" spans="1:23">
      <c r="A181" s="21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3"/>
    </row>
    <row r="182" spans="1:23">
      <c r="A182" s="21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3"/>
    </row>
    <row r="183" spans="1:23">
      <c r="A183" s="21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3"/>
    </row>
    <row r="184" spans="1:23">
      <c r="A184" s="21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3"/>
    </row>
    <row r="185" spans="1:23">
      <c r="A185" s="21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3"/>
    </row>
    <row r="186" spans="1:23">
      <c r="A186" s="21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3"/>
    </row>
    <row r="187" spans="1:23">
      <c r="A187" s="21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3"/>
    </row>
    <row r="188" spans="1:23">
      <c r="A188" s="21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3"/>
    </row>
    <row r="189" spans="1:23">
      <c r="A189" s="21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3"/>
    </row>
    <row r="190" spans="1:23">
      <c r="A190" s="21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3"/>
    </row>
    <row r="191" spans="1:23">
      <c r="A191" s="21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3"/>
    </row>
    <row r="192" spans="1:23">
      <c r="A192" s="21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3"/>
    </row>
    <row r="193" spans="1:23">
      <c r="A193" s="21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3"/>
    </row>
    <row r="194" spans="1:23">
      <c r="A194" s="21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3"/>
    </row>
    <row r="195" spans="1:23">
      <c r="A195" s="21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3"/>
    </row>
    <row r="196" spans="1:23">
      <c r="A196" s="21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3"/>
    </row>
    <row r="197" spans="1:23">
      <c r="A197" s="21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3"/>
    </row>
    <row r="198" spans="1:23">
      <c r="A198" s="21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3"/>
    </row>
    <row r="199" spans="1:23">
      <c r="A199" s="21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3"/>
    </row>
    <row r="200" spans="1:23">
      <c r="A200" s="21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3"/>
    </row>
    <row r="201" spans="1:23">
      <c r="A201" s="21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3"/>
    </row>
    <row r="202" spans="1:23">
      <c r="A202" s="21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3"/>
    </row>
    <row r="203" spans="1:23">
      <c r="A203" s="21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3"/>
    </row>
    <row r="204" spans="1:23">
      <c r="A204" s="21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3"/>
    </row>
    <row r="205" spans="1:23">
      <c r="A205" s="21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3"/>
    </row>
    <row r="206" spans="1:23">
      <c r="A206" s="21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3"/>
    </row>
    <row r="207" spans="1:23">
      <c r="A207" s="21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3"/>
    </row>
    <row r="208" spans="1:23">
      <c r="A208" s="21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3"/>
    </row>
    <row r="209" spans="1:23">
      <c r="A209" s="21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3"/>
    </row>
    <row r="210" spans="1:23">
      <c r="A210" s="21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3"/>
    </row>
    <row r="211" spans="1:23">
      <c r="A211" s="21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3"/>
    </row>
    <row r="212" spans="1:23">
      <c r="A212" s="21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3"/>
    </row>
    <row r="213" spans="1:23">
      <c r="A213" s="21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3"/>
    </row>
    <row r="214" spans="1:23">
      <c r="A214" s="21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3"/>
    </row>
    <row r="215" spans="1:23">
      <c r="A215" s="21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3"/>
    </row>
    <row r="216" spans="1:23">
      <c r="A216" s="21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3"/>
    </row>
    <row r="217" spans="1:23">
      <c r="A217" s="21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3"/>
    </row>
    <row r="218" spans="1:23">
      <c r="A218" s="21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3"/>
    </row>
    <row r="219" spans="1:23">
      <c r="A219" s="21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3"/>
    </row>
    <row r="220" spans="1:23">
      <c r="A220" s="21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3"/>
    </row>
    <row r="221" spans="1:23">
      <c r="A221" s="21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3"/>
    </row>
    <row r="222" spans="1:23">
      <c r="A222" s="21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3"/>
    </row>
    <row r="223" spans="1:23">
      <c r="A223" s="21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3"/>
    </row>
    <row r="224" spans="1:23">
      <c r="A224" s="21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3"/>
    </row>
    <row r="225" spans="1:23">
      <c r="A225" s="21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3"/>
    </row>
    <row r="226" spans="1:23">
      <c r="A226" s="21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3"/>
    </row>
    <row r="227" spans="1:23">
      <c r="A227" s="21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3"/>
    </row>
    <row r="228" spans="1:23">
      <c r="A228" s="21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3"/>
    </row>
    <row r="229" spans="1:23">
      <c r="A229" s="21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3"/>
    </row>
    <row r="230" spans="1:23">
      <c r="A230" s="21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3"/>
    </row>
    <row r="231" spans="1:23">
      <c r="A231" s="21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3"/>
    </row>
    <row r="232" spans="1:23">
      <c r="A232" s="21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3"/>
    </row>
    <row r="233" spans="1:23">
      <c r="A233" s="21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3"/>
    </row>
    <row r="234" spans="1:23">
      <c r="A234" s="21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3"/>
    </row>
    <row r="235" spans="1:23">
      <c r="A235" s="21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3"/>
    </row>
    <row r="236" spans="1:23">
      <c r="A236" s="21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3"/>
    </row>
    <row r="237" spans="1:23">
      <c r="A237" s="21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3"/>
    </row>
    <row r="238" spans="1:23">
      <c r="A238" s="21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3"/>
    </row>
    <row r="239" spans="1:23">
      <c r="A239" s="21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3"/>
    </row>
    <row r="240" spans="1:23">
      <c r="A240" s="21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3"/>
    </row>
    <row r="241" spans="1:23">
      <c r="A241" s="21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3"/>
    </row>
    <row r="242" spans="1:23">
      <c r="A242" s="21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3"/>
    </row>
    <row r="243" spans="1:23">
      <c r="A243" s="21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3"/>
    </row>
    <row r="244" spans="1:23">
      <c r="A244" s="21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3"/>
    </row>
    <row r="245" spans="1:23">
      <c r="A245" s="21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3"/>
    </row>
    <row r="246" spans="1:23">
      <c r="A246" s="21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3"/>
    </row>
    <row r="247" spans="1:23">
      <c r="A247" s="21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3"/>
    </row>
    <row r="248" spans="1:23">
      <c r="A248" s="21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3"/>
    </row>
    <row r="249" spans="1:23">
      <c r="A249" s="21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3"/>
    </row>
    <row r="250" spans="1:23">
      <c r="A250" s="21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3"/>
    </row>
    <row r="251" spans="1:23">
      <c r="A251" s="21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3"/>
    </row>
    <row r="252" spans="1:23">
      <c r="A252" s="21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3"/>
    </row>
    <row r="253" spans="1:23">
      <c r="A253" s="21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3"/>
    </row>
    <row r="254" spans="1:23">
      <c r="A254" s="21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3"/>
    </row>
    <row r="255" spans="1:23">
      <c r="A255" s="21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3"/>
    </row>
    <row r="256" spans="1:23">
      <c r="A256" s="21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3"/>
    </row>
    <row r="257" spans="1:23">
      <c r="A257" s="21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3"/>
    </row>
    <row r="258" spans="1:23">
      <c r="A258" s="21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3"/>
    </row>
    <row r="259" spans="1:23">
      <c r="A259" s="21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3"/>
    </row>
    <row r="260" spans="1:23">
      <c r="A260" s="21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3"/>
    </row>
    <row r="261" spans="1:23">
      <c r="A261" s="21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3"/>
    </row>
    <row r="262" spans="1:23">
      <c r="A262" s="21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3"/>
    </row>
    <row r="263" spans="1:23">
      <c r="A263" s="21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3"/>
    </row>
    <row r="264" spans="1:23">
      <c r="A264" s="21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3"/>
    </row>
    <row r="265" spans="1:23">
      <c r="A265" s="21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3"/>
    </row>
    <row r="266" spans="1:23">
      <c r="A266" s="21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3"/>
    </row>
    <row r="267" spans="1:23">
      <c r="A267" s="21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3"/>
    </row>
    <row r="268" spans="1:23">
      <c r="A268" s="21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3"/>
    </row>
    <row r="269" spans="1:23">
      <c r="A269" s="21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3"/>
    </row>
    <row r="270" spans="1:23">
      <c r="A270" s="21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3"/>
    </row>
    <row r="271" spans="1:23">
      <c r="A271" s="21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3"/>
    </row>
    <row r="272" spans="1:23">
      <c r="A272" s="21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3"/>
    </row>
    <row r="273" spans="1:23">
      <c r="A273" s="21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3"/>
    </row>
    <row r="274" spans="1:23">
      <c r="A274" s="21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3"/>
    </row>
    <row r="275" spans="1:23">
      <c r="A275" s="21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3"/>
    </row>
    <row r="276" spans="1:23">
      <c r="A276" s="21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3"/>
    </row>
    <row r="277" spans="1:23">
      <c r="A277" s="21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3"/>
    </row>
    <row r="278" spans="1:23">
      <c r="A278" s="21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3"/>
    </row>
    <row r="279" spans="1:23">
      <c r="A279" s="21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3"/>
    </row>
    <row r="280" spans="1:23">
      <c r="A280" s="21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3"/>
    </row>
    <row r="281" spans="1:23">
      <c r="A281" s="21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3"/>
    </row>
    <row r="282" spans="1:23">
      <c r="A282" s="21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3"/>
    </row>
    <row r="283" spans="1:23">
      <c r="A283" s="21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3"/>
    </row>
    <row r="284" spans="1:23">
      <c r="A284" s="21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3"/>
    </row>
    <row r="285" spans="1:23">
      <c r="A285" s="21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3"/>
    </row>
    <row r="286" spans="1:23">
      <c r="A286" s="21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3"/>
    </row>
    <row r="287" spans="1:23">
      <c r="A287" s="21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3"/>
    </row>
    <row r="288" spans="1:23">
      <c r="A288" s="21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3"/>
    </row>
    <row r="289" spans="1:23">
      <c r="A289" s="21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3"/>
    </row>
    <row r="290" spans="1:23">
      <c r="A290" s="21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3"/>
    </row>
    <row r="291" spans="1:23">
      <c r="A291" s="21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3"/>
    </row>
    <row r="292" spans="1:23">
      <c r="A292" s="21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3"/>
    </row>
    <row r="293" spans="1:23">
      <c r="A293" s="21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3"/>
    </row>
    <row r="294" spans="1:23">
      <c r="A294" s="21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3"/>
    </row>
    <row r="295" spans="1:23">
      <c r="A295" s="21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3"/>
    </row>
    <row r="296" spans="1:23">
      <c r="A296" s="21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3"/>
    </row>
    <row r="297" spans="1:23">
      <c r="A297" s="21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3"/>
    </row>
    <row r="298" spans="1:23">
      <c r="A298" s="21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3"/>
    </row>
    <row r="299" spans="1:23">
      <c r="A299" s="21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3"/>
    </row>
    <row r="300" spans="1:23">
      <c r="A300" s="21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3"/>
    </row>
    <row r="301" spans="1:23">
      <c r="A301" s="21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3"/>
    </row>
    <row r="302" spans="1:23">
      <c r="A302" s="21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3"/>
    </row>
    <row r="303" spans="1:23">
      <c r="A303" s="21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3"/>
    </row>
    <row r="304" spans="1:23">
      <c r="A304" s="21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3"/>
    </row>
    <row r="305" spans="1:23">
      <c r="A305" s="21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3"/>
    </row>
    <row r="306" spans="1:23">
      <c r="A306" s="21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3"/>
    </row>
    <row r="307" spans="1:23">
      <c r="A307" s="21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3"/>
    </row>
    <row r="308" spans="1:23">
      <c r="A308" s="21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3"/>
    </row>
    <row r="309" spans="1:23">
      <c r="A309" s="21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3"/>
    </row>
    <row r="310" spans="1:23">
      <c r="A310" s="21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3"/>
    </row>
    <row r="311" spans="1:23">
      <c r="A311" s="21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3"/>
    </row>
    <row r="312" spans="1:23">
      <c r="A312" s="21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3"/>
    </row>
    <row r="313" spans="1:23">
      <c r="A313" s="21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3"/>
    </row>
    <row r="314" spans="1:23">
      <c r="A314" s="21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3"/>
    </row>
    <row r="315" spans="1:23">
      <c r="A315" s="21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3"/>
    </row>
    <row r="316" spans="1:23">
      <c r="A316" s="21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3"/>
    </row>
    <row r="317" spans="1:23">
      <c r="A317" s="21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3"/>
    </row>
    <row r="318" spans="1:23">
      <c r="A318" s="21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3"/>
    </row>
    <row r="319" spans="1:23">
      <c r="A319" s="21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3"/>
    </row>
    <row r="320" spans="1:23">
      <c r="A320" s="21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3"/>
    </row>
    <row r="321" spans="1:23">
      <c r="A321" s="21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3"/>
    </row>
    <row r="322" spans="1:23">
      <c r="A322" s="21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3"/>
    </row>
    <row r="323" spans="1:23">
      <c r="A323" s="21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3"/>
    </row>
    <row r="324" spans="1:23">
      <c r="A324" s="21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3"/>
    </row>
    <row r="325" spans="1:23">
      <c r="A325" s="21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3"/>
    </row>
    <row r="326" spans="1:23">
      <c r="A326" s="21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3"/>
    </row>
    <row r="327" spans="1:23">
      <c r="A327" s="21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3"/>
    </row>
    <row r="328" spans="1:23">
      <c r="A328" s="21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3"/>
    </row>
    <row r="329" spans="1:23">
      <c r="A329" s="21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3"/>
    </row>
    <row r="330" spans="1:23">
      <c r="A330" s="21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3"/>
    </row>
    <row r="331" spans="1:23">
      <c r="A331" s="21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3"/>
    </row>
    <row r="332" spans="1:23">
      <c r="A332" s="21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3"/>
    </row>
    <row r="333" spans="1:23">
      <c r="A333" s="21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3"/>
    </row>
    <row r="334" spans="1:23">
      <c r="A334" s="21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3"/>
    </row>
    <row r="335" spans="1:23">
      <c r="A335" s="21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3"/>
    </row>
    <row r="336" spans="1:23">
      <c r="A336" s="21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3"/>
    </row>
    <row r="337" spans="1:23">
      <c r="A337" s="21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3"/>
    </row>
    <row r="338" spans="1:23">
      <c r="A338" s="21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3"/>
    </row>
    <row r="339" spans="1:23">
      <c r="A339" s="21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3"/>
    </row>
    <row r="340" spans="1:23">
      <c r="A340" s="21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3"/>
    </row>
    <row r="341" spans="1:23">
      <c r="A341" s="21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3"/>
    </row>
    <row r="342" spans="1:23">
      <c r="A342" s="21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3"/>
    </row>
    <row r="343" spans="1:23">
      <c r="A343" s="21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3"/>
    </row>
    <row r="344" spans="1:23">
      <c r="A344" s="21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3"/>
    </row>
    <row r="345" spans="1:23">
      <c r="A345" s="21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3"/>
    </row>
    <row r="346" spans="1:23">
      <c r="A346" s="21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3"/>
    </row>
    <row r="347" spans="1:23">
      <c r="A347" s="21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3"/>
    </row>
    <row r="348" spans="1:23">
      <c r="A348" s="21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3"/>
    </row>
    <row r="349" spans="1:23">
      <c r="A349" s="21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3"/>
    </row>
    <row r="350" spans="1:23">
      <c r="A350" s="21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3"/>
    </row>
    <row r="351" spans="1:23">
      <c r="A351" s="21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3"/>
    </row>
    <row r="352" spans="1:23">
      <c r="A352" s="21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3"/>
    </row>
    <row r="353" spans="1:23">
      <c r="A353" s="21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3"/>
    </row>
    <row r="354" spans="1:23">
      <c r="A354" s="21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3"/>
    </row>
    <row r="355" spans="1:23">
      <c r="A355" s="21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3"/>
    </row>
    <row r="356" spans="1:23">
      <c r="A356" s="21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3"/>
    </row>
    <row r="357" spans="1:23">
      <c r="A357" s="21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3"/>
    </row>
    <row r="358" spans="1:23">
      <c r="A358" s="21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3"/>
    </row>
    <row r="359" spans="1:23">
      <c r="A359" s="21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3"/>
    </row>
    <row r="360" spans="1:23">
      <c r="A360" s="21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3"/>
    </row>
    <row r="361" spans="1:23">
      <c r="A361" s="21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3"/>
    </row>
    <row r="362" spans="1:23">
      <c r="A362" s="21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3"/>
    </row>
    <row r="363" spans="1:23">
      <c r="A363" s="21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3"/>
    </row>
    <row r="364" spans="1:23">
      <c r="A364" s="21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3"/>
    </row>
    <row r="365" spans="1:23">
      <c r="A365" s="21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3"/>
    </row>
    <row r="366" spans="1:23">
      <c r="A366" s="21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3"/>
    </row>
    <row r="367" spans="1:23">
      <c r="A367" s="21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3"/>
    </row>
    <row r="368" spans="1:23">
      <c r="A368" s="21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3"/>
    </row>
    <row r="369" spans="1:23">
      <c r="A369" s="21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3"/>
    </row>
    <row r="370" spans="1:23">
      <c r="A370" s="21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3"/>
    </row>
    <row r="371" spans="1:23">
      <c r="A371" s="21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3"/>
    </row>
    <row r="372" spans="1:23">
      <c r="A372" s="21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3"/>
    </row>
    <row r="373" spans="1:23">
      <c r="A373" s="21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3"/>
    </row>
    <row r="374" spans="1:23">
      <c r="A374" s="21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3"/>
    </row>
    <row r="375" spans="1:23">
      <c r="A375" s="21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3"/>
    </row>
    <row r="376" spans="1:23">
      <c r="A376" s="21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3"/>
    </row>
    <row r="377" spans="1:23">
      <c r="A377" s="21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3"/>
    </row>
    <row r="378" spans="1:23">
      <c r="A378" s="21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3"/>
    </row>
    <row r="379" spans="1:23">
      <c r="A379" s="21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3"/>
    </row>
    <row r="380" spans="1:23">
      <c r="A380" s="21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3"/>
    </row>
    <row r="381" spans="1:23">
      <c r="A381" s="21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3"/>
    </row>
    <row r="382" spans="1:23">
      <c r="A382" s="21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3"/>
    </row>
    <row r="383" spans="1:23">
      <c r="A383" s="21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3"/>
    </row>
    <row r="384" spans="1:23">
      <c r="A384" s="21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3"/>
    </row>
    <row r="385" spans="1:23">
      <c r="A385" s="21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3"/>
    </row>
    <row r="386" spans="1:23">
      <c r="A386" s="21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3"/>
    </row>
    <row r="387" spans="1:23">
      <c r="A387" s="21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3"/>
    </row>
    <row r="388" spans="1:23">
      <c r="A388" s="21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3"/>
    </row>
    <row r="389" spans="1:23">
      <c r="A389" s="21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3"/>
    </row>
    <row r="390" spans="1:23">
      <c r="A390" s="21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3"/>
    </row>
    <row r="391" spans="1:23">
      <c r="A391" s="21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3"/>
    </row>
    <row r="392" spans="1:23">
      <c r="A392" s="21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3"/>
    </row>
    <row r="393" spans="1:23">
      <c r="A393" s="21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3"/>
    </row>
    <row r="394" spans="1:23">
      <c r="A394" s="21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3"/>
    </row>
    <row r="395" spans="1:23">
      <c r="A395" s="21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3"/>
    </row>
    <row r="396" spans="1:23">
      <c r="A396" s="21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3"/>
    </row>
    <row r="397" spans="1:23">
      <c r="A397" s="21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3"/>
    </row>
    <row r="398" spans="1:23">
      <c r="A398" s="21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3"/>
    </row>
    <row r="399" spans="1:23">
      <c r="A399" s="21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3"/>
    </row>
    <row r="400" spans="1:23">
      <c r="A400" s="21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3"/>
    </row>
    <row r="401" spans="1:23">
      <c r="A401" s="21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3"/>
    </row>
    <row r="402" spans="1:23">
      <c r="A402" s="21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3"/>
    </row>
    <row r="403" spans="1:23">
      <c r="A403" s="21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3"/>
    </row>
    <row r="404" spans="1:23">
      <c r="A404" s="21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3"/>
    </row>
    <row r="405" spans="1:23">
      <c r="A405" s="21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3"/>
    </row>
    <row r="406" spans="1:23">
      <c r="A406" s="21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3"/>
    </row>
    <row r="407" spans="1:23">
      <c r="A407" s="21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3"/>
    </row>
    <row r="408" spans="1:23">
      <c r="A408" s="21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3"/>
    </row>
    <row r="409" spans="1:23">
      <c r="A409" s="21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3"/>
    </row>
    <row r="410" spans="1:23">
      <c r="A410" s="21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3"/>
    </row>
    <row r="411" spans="1:23">
      <c r="A411" s="21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3"/>
    </row>
    <row r="412" spans="1:23">
      <c r="A412" s="21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3"/>
    </row>
    <row r="413" spans="1:23">
      <c r="A413" s="21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3"/>
    </row>
    <row r="414" spans="1:23">
      <c r="A414" s="21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3"/>
    </row>
    <row r="415" spans="1:23">
      <c r="A415" s="21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3"/>
    </row>
    <row r="416" spans="1:23">
      <c r="A416" s="21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3"/>
    </row>
    <row r="417" spans="1:23">
      <c r="A417" s="21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3"/>
    </row>
    <row r="418" spans="1:23">
      <c r="A418" s="21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3"/>
    </row>
    <row r="419" spans="1:23">
      <c r="A419" s="21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3"/>
    </row>
    <row r="420" spans="1:23">
      <c r="A420" s="21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3"/>
    </row>
    <row r="421" spans="1:23">
      <c r="A421" s="21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3"/>
    </row>
    <row r="422" spans="1:23">
      <c r="A422" s="21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3"/>
    </row>
    <row r="423" spans="1:23">
      <c r="A423" s="21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3"/>
    </row>
    <row r="424" spans="1:23">
      <c r="A424" s="21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3"/>
    </row>
    <row r="425" spans="1:23">
      <c r="A425" s="21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3"/>
    </row>
    <row r="426" spans="1:23">
      <c r="A426" s="21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3"/>
    </row>
    <row r="427" spans="1:23">
      <c r="A427" s="21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3"/>
    </row>
    <row r="428" spans="1:23">
      <c r="A428" s="21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3"/>
    </row>
    <row r="429" spans="1:23">
      <c r="A429" s="21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3"/>
    </row>
    <row r="430" spans="1:23">
      <c r="A430" s="21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3"/>
    </row>
    <row r="431" spans="1:23">
      <c r="A431" s="21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3"/>
    </row>
    <row r="432" spans="1:23">
      <c r="A432" s="21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3"/>
    </row>
    <row r="433" spans="1:23">
      <c r="A433" s="21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3"/>
    </row>
    <row r="434" spans="1:23">
      <c r="A434" s="21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3"/>
    </row>
    <row r="435" spans="1:23">
      <c r="A435" s="21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3"/>
    </row>
    <row r="436" spans="1:23">
      <c r="A436" s="21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3"/>
    </row>
    <row r="437" spans="1:23">
      <c r="A437" s="21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3"/>
    </row>
    <row r="438" spans="1:23">
      <c r="A438" s="21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3"/>
    </row>
    <row r="439" spans="1:23">
      <c r="A439" s="21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3"/>
    </row>
    <row r="440" spans="1:23">
      <c r="A440" s="21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3"/>
    </row>
    <row r="441" spans="1:23">
      <c r="A441" s="21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3"/>
    </row>
    <row r="442" spans="1:23">
      <c r="A442" s="21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3"/>
    </row>
    <row r="443" spans="1:23">
      <c r="A443" s="21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3"/>
    </row>
    <row r="444" spans="1:23">
      <c r="A444" s="21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3"/>
    </row>
    <row r="445" spans="1:23">
      <c r="A445" s="21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3"/>
    </row>
    <row r="446" spans="1:23">
      <c r="A446" s="21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3"/>
    </row>
    <row r="447" spans="1:23">
      <c r="A447" s="21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3"/>
    </row>
    <row r="448" spans="1:23">
      <c r="A448" s="21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3"/>
    </row>
    <row r="449" spans="1:23">
      <c r="A449" s="21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3"/>
    </row>
    <row r="450" spans="1:23">
      <c r="A450" s="21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3"/>
    </row>
    <row r="451" spans="1:23">
      <c r="A451" s="21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3"/>
    </row>
    <row r="452" spans="1:23">
      <c r="A452" s="21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3"/>
    </row>
    <row r="453" spans="1:23">
      <c r="A453" s="21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3"/>
    </row>
    <row r="454" spans="1:23">
      <c r="A454" s="21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3"/>
    </row>
    <row r="455" spans="1:23">
      <c r="A455" s="21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3"/>
    </row>
    <row r="456" spans="1:23">
      <c r="A456" s="21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3"/>
    </row>
    <row r="457" spans="1:23">
      <c r="A457" s="21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3"/>
    </row>
    <row r="458" spans="1:23">
      <c r="A458" s="21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3"/>
    </row>
    <row r="459" spans="1:23">
      <c r="A459" s="21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3"/>
    </row>
    <row r="460" spans="1:23">
      <c r="A460" s="21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3"/>
    </row>
    <row r="461" spans="1:23">
      <c r="A461" s="21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3"/>
    </row>
    <row r="462" spans="1:23">
      <c r="A462" s="21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3"/>
    </row>
    <row r="463" spans="1:23">
      <c r="A463" s="21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3"/>
    </row>
    <row r="464" spans="1:23">
      <c r="A464" s="21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3"/>
    </row>
    <row r="465" spans="1:23">
      <c r="A465" s="21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3"/>
    </row>
    <row r="466" spans="1:23">
      <c r="A466" s="21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3"/>
    </row>
    <row r="467" spans="1:23">
      <c r="A467" s="21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3"/>
    </row>
    <row r="468" spans="1:23">
      <c r="A468" s="21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3"/>
    </row>
    <row r="469" spans="1:23">
      <c r="A469" s="21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3"/>
    </row>
    <row r="470" spans="1:23">
      <c r="A470" s="21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3"/>
    </row>
    <row r="471" spans="1:23">
      <c r="A471" s="21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3"/>
    </row>
    <row r="472" spans="1:23">
      <c r="A472" s="21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3"/>
    </row>
    <row r="473" spans="1:23">
      <c r="A473" s="21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3"/>
    </row>
    <row r="474" spans="1:23">
      <c r="A474" s="21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3"/>
    </row>
    <row r="475" spans="1:23">
      <c r="A475" s="21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3"/>
    </row>
    <row r="476" spans="1:23">
      <c r="A476" s="21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3"/>
    </row>
    <row r="477" spans="1:23">
      <c r="A477" s="21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3"/>
    </row>
    <row r="478" spans="1:23">
      <c r="A478" s="21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3"/>
    </row>
    <row r="479" spans="1:23">
      <c r="A479" s="21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3"/>
    </row>
    <row r="480" spans="1:23">
      <c r="A480" s="21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3"/>
    </row>
    <row r="481" spans="1:23">
      <c r="A481" s="21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3"/>
    </row>
    <row r="482" spans="1:23">
      <c r="A482" s="21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3"/>
    </row>
    <row r="483" spans="1:23">
      <c r="A483" s="21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3"/>
    </row>
    <row r="484" spans="1:23">
      <c r="A484" s="21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3"/>
    </row>
    <row r="485" spans="1:23">
      <c r="A485" s="21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3"/>
    </row>
    <row r="486" spans="1:23">
      <c r="A486" s="21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3"/>
    </row>
    <row r="487" spans="1:23">
      <c r="A487" s="21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3"/>
    </row>
    <row r="488" spans="1:23">
      <c r="A488" s="21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3"/>
    </row>
    <row r="489" spans="1:23">
      <c r="A489" s="21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3"/>
    </row>
    <row r="490" spans="1:23">
      <c r="A490" s="21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3"/>
    </row>
    <row r="491" spans="1:23">
      <c r="A491" s="21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3"/>
    </row>
    <row r="492" spans="1:23">
      <c r="A492" s="21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3"/>
    </row>
    <row r="493" spans="1:23">
      <c r="A493" s="21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3"/>
    </row>
    <row r="494" spans="1:23">
      <c r="A494" s="21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3"/>
    </row>
    <row r="495" spans="1:23">
      <c r="A495" s="21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3"/>
    </row>
    <row r="496" spans="1:23">
      <c r="A496" s="21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3"/>
    </row>
    <row r="497" spans="1:23">
      <c r="A497" s="21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3"/>
    </row>
    <row r="498" spans="1:23">
      <c r="A498" s="21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3"/>
    </row>
    <row r="499" spans="1:23">
      <c r="A499" s="21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3"/>
    </row>
    <row r="500" spans="1:23">
      <c r="A500" s="21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3"/>
    </row>
    <row r="501" spans="1:23">
      <c r="A501" s="21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3"/>
    </row>
    <row r="502" spans="1:23">
      <c r="A502" s="21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3"/>
    </row>
    <row r="503" spans="1:23">
      <c r="A503" s="21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3"/>
    </row>
    <row r="504" spans="1:23">
      <c r="A504" s="21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3"/>
    </row>
    <row r="505" spans="1:23">
      <c r="A505" s="21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3"/>
    </row>
    <row r="506" spans="1:23">
      <c r="A506" s="21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3"/>
    </row>
    <row r="507" spans="1:23">
      <c r="A507" s="21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3"/>
    </row>
    <row r="508" spans="1:23">
      <c r="A508" s="21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3"/>
    </row>
    <row r="509" spans="1:23">
      <c r="A509" s="21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3"/>
    </row>
    <row r="510" spans="1:23">
      <c r="A510" s="21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3"/>
    </row>
    <row r="511" spans="1:23">
      <c r="A511" s="21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3"/>
    </row>
    <row r="512" spans="1:23">
      <c r="A512" s="21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3"/>
    </row>
    <row r="513" spans="1:23">
      <c r="A513" s="21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3"/>
    </row>
    <row r="514" spans="1:23">
      <c r="A514" s="21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3"/>
    </row>
    <row r="515" spans="1:23">
      <c r="A515" s="21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3"/>
    </row>
    <row r="516" spans="1:23">
      <c r="A516" s="21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3"/>
    </row>
    <row r="517" spans="1:23">
      <c r="A517" s="21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3"/>
    </row>
    <row r="518" spans="1:23">
      <c r="A518" s="21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3"/>
    </row>
    <row r="519" spans="1:23">
      <c r="A519" s="21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3"/>
    </row>
    <row r="520" spans="1:23">
      <c r="A520" s="21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3"/>
    </row>
    <row r="521" spans="1:23">
      <c r="A521" s="21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3"/>
    </row>
    <row r="522" spans="1:23">
      <c r="A522" s="21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3"/>
    </row>
    <row r="523" spans="1:23">
      <c r="A523" s="21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3"/>
    </row>
    <row r="524" spans="1:23">
      <c r="A524" s="21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3"/>
    </row>
    <row r="525" spans="1:23">
      <c r="A525" s="21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3"/>
    </row>
    <row r="526" spans="1:23">
      <c r="A526" s="21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3"/>
    </row>
    <row r="527" spans="1:23">
      <c r="A527" s="21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3"/>
    </row>
    <row r="528" spans="1:23">
      <c r="A528" s="21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3"/>
    </row>
    <row r="529" spans="1:23">
      <c r="A529" s="21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3"/>
    </row>
    <row r="530" spans="1:23">
      <c r="A530" s="21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3"/>
    </row>
    <row r="531" spans="1:23">
      <c r="A531" s="21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3"/>
    </row>
    <row r="532" spans="1:23">
      <c r="A532" s="21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3"/>
    </row>
    <row r="533" spans="1:23">
      <c r="A533" s="21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3"/>
    </row>
    <row r="534" spans="1:23">
      <c r="A534" s="21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3"/>
    </row>
    <row r="535" spans="1:23">
      <c r="A535" s="21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3"/>
    </row>
    <row r="536" spans="1:23">
      <c r="A536" s="21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3"/>
    </row>
    <row r="537" spans="1:23">
      <c r="A537" s="21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3"/>
    </row>
    <row r="538" spans="1:23">
      <c r="A538" s="21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3"/>
    </row>
    <row r="539" spans="1:23">
      <c r="A539" s="21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3"/>
    </row>
    <row r="540" spans="1:23">
      <c r="A540" s="21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3"/>
    </row>
    <row r="541" spans="1:23">
      <c r="A541" s="21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3"/>
    </row>
    <row r="542" spans="1:23">
      <c r="A542" s="21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3"/>
    </row>
    <row r="543" spans="1:23">
      <c r="A543" s="21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3"/>
    </row>
    <row r="544" spans="1:23">
      <c r="A544" s="21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3"/>
    </row>
    <row r="545" spans="1:23">
      <c r="A545" s="21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3"/>
    </row>
    <row r="546" spans="1:23">
      <c r="A546" s="21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3"/>
    </row>
    <row r="547" spans="1:23">
      <c r="A547" s="21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3"/>
    </row>
    <row r="548" spans="1:23">
      <c r="A548" s="21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3"/>
    </row>
    <row r="549" spans="1:23">
      <c r="A549" s="21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3"/>
    </row>
    <row r="550" spans="1:23">
      <c r="A550" s="21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3"/>
    </row>
    <row r="551" spans="1:23">
      <c r="A551" s="21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3"/>
    </row>
    <row r="552" spans="1:23">
      <c r="A552" s="21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3"/>
    </row>
    <row r="553" spans="1:23">
      <c r="A553" s="21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3"/>
    </row>
    <row r="554" spans="1:23">
      <c r="A554" s="21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3"/>
    </row>
    <row r="555" spans="1:23">
      <c r="A555" s="21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3"/>
    </row>
    <row r="556" spans="1:23">
      <c r="A556" s="21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3"/>
    </row>
    <row r="557" spans="1:23">
      <c r="A557" s="21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3"/>
    </row>
    <row r="558" spans="1:23">
      <c r="A558" s="21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3"/>
    </row>
    <row r="559" spans="1:23">
      <c r="A559" s="21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3"/>
    </row>
    <row r="560" spans="1:23">
      <c r="A560" s="21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3"/>
    </row>
    <row r="561" spans="1:23">
      <c r="A561" s="21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3"/>
    </row>
    <row r="562" spans="1:23">
      <c r="A562" s="21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3"/>
    </row>
    <row r="563" spans="1:23">
      <c r="A563" s="21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3"/>
    </row>
    <row r="564" spans="1:23">
      <c r="A564" s="21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3"/>
    </row>
    <row r="565" spans="1:23">
      <c r="A565" s="21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3"/>
    </row>
    <row r="566" spans="1:23">
      <c r="A566" s="21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3"/>
    </row>
    <row r="567" spans="1:23">
      <c r="A567" s="21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3"/>
    </row>
    <row r="568" spans="1:23">
      <c r="A568" s="21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3"/>
    </row>
    <row r="569" spans="1:23">
      <c r="A569" s="21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3"/>
    </row>
    <row r="570" spans="1:23">
      <c r="A570" s="21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3"/>
    </row>
    <row r="571" spans="1:23">
      <c r="A571" s="21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3"/>
    </row>
    <row r="572" spans="1:23">
      <c r="A572" s="21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3"/>
    </row>
    <row r="573" spans="1:23">
      <c r="A573" s="21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3"/>
    </row>
    <row r="574" spans="1:23">
      <c r="A574" s="21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3"/>
    </row>
    <row r="575" spans="1:23">
      <c r="A575" s="21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3"/>
    </row>
    <row r="576" spans="1:23">
      <c r="A576" s="21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3"/>
    </row>
    <row r="577" spans="1:23">
      <c r="A577" s="21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3"/>
    </row>
    <row r="578" spans="1:23">
      <c r="A578" s="21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3"/>
    </row>
    <row r="579" spans="1:23">
      <c r="A579" s="21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3"/>
    </row>
    <row r="580" spans="1:23">
      <c r="A580" s="21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3"/>
    </row>
    <row r="581" spans="1:23">
      <c r="A581" s="21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3"/>
    </row>
    <row r="582" spans="1:23">
      <c r="A582" s="21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3"/>
    </row>
    <row r="583" spans="1:23">
      <c r="A583" s="21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3"/>
    </row>
    <row r="584" spans="1:23">
      <c r="A584" s="21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3"/>
    </row>
    <row r="585" spans="1:23">
      <c r="A585" s="21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3"/>
    </row>
    <row r="586" spans="1:23">
      <c r="A586" s="21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3"/>
    </row>
    <row r="587" spans="1:23">
      <c r="A587" s="21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3"/>
    </row>
    <row r="588" spans="1:23">
      <c r="A588" s="21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3"/>
    </row>
    <row r="589" spans="1:23">
      <c r="A589" s="21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3"/>
    </row>
    <row r="590" spans="1:23">
      <c r="A590" s="21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3"/>
    </row>
    <row r="591" spans="1:23">
      <c r="A591" s="21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3"/>
    </row>
    <row r="592" spans="1:23">
      <c r="A592" s="21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3"/>
    </row>
    <row r="593" spans="1:23">
      <c r="A593" s="21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3"/>
    </row>
    <row r="594" spans="1:23">
      <c r="A594" s="21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3"/>
    </row>
    <row r="595" spans="1:23">
      <c r="A595" s="21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3"/>
    </row>
    <row r="596" spans="1:23">
      <c r="A596" s="21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3"/>
    </row>
    <row r="597" spans="1:23">
      <c r="A597" s="21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3"/>
    </row>
    <row r="598" spans="1:23">
      <c r="A598" s="21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3"/>
    </row>
    <row r="599" spans="1:23">
      <c r="A599" s="21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3"/>
    </row>
    <row r="600" spans="1:23">
      <c r="A600" s="21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3"/>
    </row>
    <row r="601" spans="1:23">
      <c r="A601" s="21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3"/>
    </row>
    <row r="602" spans="1:23">
      <c r="A602" s="21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3"/>
    </row>
    <row r="603" spans="1:23">
      <c r="A603" s="21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3"/>
    </row>
    <row r="604" spans="1:23">
      <c r="A604" s="21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3"/>
    </row>
    <row r="605" spans="1:23">
      <c r="A605" s="21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3"/>
    </row>
    <row r="606" spans="1:23">
      <c r="A606" s="21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3"/>
    </row>
    <row r="607" spans="1:23">
      <c r="A607" s="21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3"/>
    </row>
    <row r="608" spans="1:23">
      <c r="A608" s="21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3"/>
    </row>
    <row r="609" spans="1:23">
      <c r="A609" s="21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3"/>
    </row>
    <row r="610" spans="1:23">
      <c r="A610" s="21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3"/>
    </row>
    <row r="611" spans="1:23">
      <c r="A611" s="21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3"/>
    </row>
    <row r="612" spans="1:23">
      <c r="A612" s="21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3"/>
    </row>
    <row r="613" spans="1:23">
      <c r="A613" s="21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3"/>
    </row>
    <row r="614" spans="1:23">
      <c r="A614" s="21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3"/>
    </row>
    <row r="615" spans="1:23">
      <c r="A615" s="21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3"/>
    </row>
    <row r="616" spans="1:23">
      <c r="A616" s="21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3"/>
    </row>
    <row r="617" spans="1:23">
      <c r="A617" s="21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3"/>
    </row>
    <row r="618" spans="1:23">
      <c r="A618" s="21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3"/>
    </row>
    <row r="619" spans="1:23">
      <c r="A619" s="21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3"/>
    </row>
    <row r="620" spans="1:23">
      <c r="A620" s="21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3"/>
    </row>
    <row r="621" spans="1:23">
      <c r="A621" s="21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3"/>
    </row>
    <row r="622" spans="1:23">
      <c r="A622" s="21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3"/>
    </row>
    <row r="623" spans="1:23">
      <c r="A623" s="21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3"/>
    </row>
    <row r="624" spans="1:23">
      <c r="A624" s="21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3"/>
    </row>
    <row r="625" spans="1:23">
      <c r="A625" s="21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3"/>
    </row>
    <row r="626" spans="1:23">
      <c r="A626" s="21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3"/>
    </row>
    <row r="627" spans="1:23">
      <c r="A627" s="21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3"/>
    </row>
    <row r="628" spans="1:23">
      <c r="A628" s="21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3"/>
    </row>
    <row r="629" spans="1:23">
      <c r="A629" s="21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3"/>
    </row>
    <row r="630" spans="1:23">
      <c r="A630" s="21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3"/>
    </row>
    <row r="631" spans="1:23">
      <c r="A631" s="21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3"/>
    </row>
    <row r="632" spans="1:23">
      <c r="A632" s="21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3"/>
    </row>
    <row r="633" spans="1:23">
      <c r="A633" s="21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3"/>
    </row>
    <row r="634" spans="1:23">
      <c r="A634" s="21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3"/>
    </row>
    <row r="635" spans="1:23">
      <c r="A635" s="21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3"/>
    </row>
    <row r="636" spans="1:23">
      <c r="A636" s="21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3"/>
    </row>
    <row r="637" spans="1:23">
      <c r="A637" s="21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3"/>
    </row>
    <row r="638" spans="1:23">
      <c r="A638" s="21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3"/>
    </row>
    <row r="639" spans="1:23">
      <c r="A639" s="21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3"/>
    </row>
    <row r="640" spans="1:23">
      <c r="A640" s="21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3"/>
    </row>
    <row r="641" spans="1:23">
      <c r="A641" s="21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3"/>
    </row>
    <row r="642" spans="1:23">
      <c r="A642" s="21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3"/>
    </row>
    <row r="643" spans="1:23">
      <c r="A643" s="21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3"/>
    </row>
    <row r="644" spans="1:23">
      <c r="A644" s="21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3"/>
    </row>
    <row r="645" spans="1:23">
      <c r="A645" s="21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3"/>
    </row>
    <row r="646" spans="1:23">
      <c r="A646" s="21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3"/>
    </row>
    <row r="647" spans="1:23">
      <c r="A647" s="21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3"/>
    </row>
    <row r="648" spans="1:23">
      <c r="A648" s="21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3"/>
    </row>
    <row r="649" spans="1:23">
      <c r="A649" s="21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3"/>
    </row>
    <row r="650" spans="1:23">
      <c r="A650" s="21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3"/>
    </row>
    <row r="651" spans="1:23">
      <c r="A651" s="21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3"/>
    </row>
    <row r="652" spans="1:23">
      <c r="A652" s="21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3"/>
    </row>
    <row r="653" spans="1:23">
      <c r="A653" s="21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3"/>
    </row>
    <row r="654" spans="1:23">
      <c r="A654" s="21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3"/>
    </row>
    <row r="655" spans="1:23">
      <c r="A655" s="21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3"/>
    </row>
    <row r="656" spans="1:23">
      <c r="A656" s="21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3"/>
    </row>
    <row r="657" spans="1:23">
      <c r="A657" s="21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3"/>
    </row>
    <row r="658" spans="1:23">
      <c r="A658" s="21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3"/>
    </row>
    <row r="659" spans="1:23">
      <c r="A659" s="21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3"/>
    </row>
    <row r="660" spans="1:23">
      <c r="A660" s="21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3"/>
    </row>
    <row r="661" spans="1:23">
      <c r="A661" s="21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3"/>
    </row>
    <row r="662" spans="1:23">
      <c r="A662" s="21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3"/>
    </row>
    <row r="663" spans="1:23">
      <c r="A663" s="21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3"/>
    </row>
    <row r="664" spans="1:23">
      <c r="A664" s="21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3"/>
    </row>
    <row r="665" spans="1:23">
      <c r="A665" s="21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3"/>
    </row>
    <row r="666" spans="1:23">
      <c r="A666" s="21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3"/>
    </row>
    <row r="667" spans="1:23">
      <c r="A667" s="21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3"/>
    </row>
    <row r="668" spans="1:23">
      <c r="A668" s="21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3"/>
    </row>
    <row r="669" spans="1:23">
      <c r="A669" s="21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3"/>
    </row>
    <row r="670" spans="1:23">
      <c r="A670" s="21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3"/>
    </row>
    <row r="671" spans="1:23">
      <c r="A671" s="21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3"/>
    </row>
    <row r="672" spans="1:23">
      <c r="A672" s="21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3"/>
    </row>
    <row r="673" spans="1:23">
      <c r="A673" s="21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3"/>
    </row>
    <row r="674" spans="1:23">
      <c r="A674" s="21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3"/>
    </row>
    <row r="675" spans="1:23">
      <c r="A675" s="21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3"/>
    </row>
    <row r="676" spans="1:23">
      <c r="A676" s="21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3"/>
    </row>
    <row r="677" spans="1:23">
      <c r="A677" s="21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3"/>
    </row>
    <row r="678" spans="1:23">
      <c r="A678" s="21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3"/>
    </row>
    <row r="679" spans="1:23">
      <c r="A679" s="21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3"/>
    </row>
    <row r="680" spans="1:23">
      <c r="A680" s="21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3"/>
    </row>
    <row r="681" spans="1:23">
      <c r="A681" s="21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3"/>
    </row>
    <row r="682" spans="1:23">
      <c r="A682" s="21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3"/>
    </row>
    <row r="683" spans="1:23">
      <c r="A683" s="21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3"/>
    </row>
    <row r="684" spans="1:23">
      <c r="A684" s="21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3"/>
    </row>
    <row r="685" spans="1:23">
      <c r="A685" s="21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3"/>
    </row>
    <row r="686" spans="1:23">
      <c r="A686" s="21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3"/>
    </row>
    <row r="687" spans="1:23">
      <c r="A687" s="21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3"/>
    </row>
    <row r="688" spans="1:23">
      <c r="A688" s="21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3"/>
    </row>
    <row r="689" spans="1:23">
      <c r="A689" s="21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3"/>
    </row>
    <row r="690" spans="1:23">
      <c r="A690" s="21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3"/>
    </row>
    <row r="691" spans="1:23">
      <c r="A691" s="21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3"/>
    </row>
    <row r="692" spans="1:23">
      <c r="A692" s="21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3"/>
    </row>
    <row r="693" spans="1:23">
      <c r="A693" s="21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3"/>
    </row>
    <row r="694" spans="1:23">
      <c r="A694" s="21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3"/>
    </row>
    <row r="695" spans="1:23">
      <c r="A695" s="21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3"/>
    </row>
    <row r="696" spans="1:23">
      <c r="A696" s="21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3"/>
    </row>
    <row r="697" spans="1:23">
      <c r="A697" s="21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3"/>
    </row>
    <row r="698" spans="1:23">
      <c r="A698" s="21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3"/>
    </row>
    <row r="699" spans="1:23">
      <c r="A699" s="21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3"/>
    </row>
    <row r="700" spans="1:23">
      <c r="A700" s="21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3"/>
    </row>
    <row r="701" spans="1:23">
      <c r="A701" s="21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3"/>
    </row>
    <row r="702" spans="1:23">
      <c r="A702" s="21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3"/>
    </row>
    <row r="703" spans="1:23">
      <c r="A703" s="21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3"/>
    </row>
    <row r="704" spans="1:23">
      <c r="A704" s="21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3"/>
    </row>
    <row r="705" spans="1:23">
      <c r="A705" s="21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3"/>
    </row>
    <row r="706" spans="1:23">
      <c r="A706" s="21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3"/>
    </row>
    <row r="707" spans="1:23">
      <c r="A707" s="21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3"/>
    </row>
    <row r="708" spans="1:23">
      <c r="A708" s="21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3"/>
    </row>
    <row r="709" spans="1:23">
      <c r="A709" s="21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3"/>
    </row>
    <row r="710" spans="1:23">
      <c r="A710" s="21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3"/>
    </row>
    <row r="711" spans="1:23">
      <c r="A711" s="21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3"/>
    </row>
    <row r="712" spans="1:23">
      <c r="A712" s="21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3"/>
    </row>
    <row r="713" spans="1:23">
      <c r="A713" s="21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3"/>
    </row>
    <row r="714" spans="1:23">
      <c r="A714" s="21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3"/>
    </row>
    <row r="715" spans="1:23">
      <c r="A715" s="21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3"/>
    </row>
    <row r="716" spans="1:23">
      <c r="A716" s="21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3"/>
    </row>
    <row r="717" spans="1:23">
      <c r="A717" s="21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3"/>
    </row>
    <row r="718" spans="1:23">
      <c r="A718" s="21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3"/>
    </row>
    <row r="719" spans="1:23">
      <c r="A719" s="21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3"/>
    </row>
    <row r="720" spans="1:23">
      <c r="A720" s="21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3"/>
    </row>
    <row r="721" spans="1:23">
      <c r="A721" s="21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3"/>
    </row>
    <row r="722" spans="1:23">
      <c r="A722" s="21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3"/>
    </row>
    <row r="723" spans="1:23">
      <c r="A723" s="21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3"/>
    </row>
    <row r="724" spans="1:23">
      <c r="A724" s="21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3"/>
    </row>
    <row r="725" spans="1:23">
      <c r="A725" s="21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3"/>
    </row>
    <row r="726" spans="1:23">
      <c r="A726" s="21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3"/>
    </row>
    <row r="727" spans="1:23">
      <c r="A727" s="21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3"/>
    </row>
    <row r="728" spans="1:23">
      <c r="A728" s="21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3"/>
    </row>
    <row r="729" spans="1:23">
      <c r="A729" s="21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3"/>
    </row>
    <row r="730" spans="1:23">
      <c r="A730" s="21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3"/>
    </row>
    <row r="731" spans="1:23">
      <c r="A731" s="21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3"/>
    </row>
    <row r="732" spans="1:23">
      <c r="A732" s="21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3"/>
    </row>
    <row r="733" spans="1:23">
      <c r="A733" s="21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3"/>
    </row>
    <row r="734" spans="1:23">
      <c r="A734" s="21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3"/>
    </row>
    <row r="735" spans="1:23">
      <c r="A735" s="21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3"/>
    </row>
    <row r="736" spans="1:23">
      <c r="A736" s="21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3"/>
    </row>
    <row r="737" spans="1:23">
      <c r="A737" s="21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3"/>
    </row>
    <row r="738" spans="1:23">
      <c r="A738" s="21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3"/>
    </row>
    <row r="739" spans="1:23">
      <c r="A739" s="21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3"/>
    </row>
    <row r="740" spans="1:23">
      <c r="A740" s="21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3"/>
    </row>
    <row r="741" spans="1:23">
      <c r="A741" s="21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3"/>
    </row>
    <row r="742" spans="1:23">
      <c r="A742" s="21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3"/>
    </row>
    <row r="743" spans="1:23">
      <c r="A743" s="21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3"/>
    </row>
    <row r="744" spans="1:23">
      <c r="A744" s="21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3"/>
    </row>
    <row r="745" spans="1:23">
      <c r="A745" s="21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3"/>
    </row>
    <row r="746" spans="1:23">
      <c r="A746" s="21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3"/>
    </row>
    <row r="747" spans="1:23">
      <c r="A747" s="21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3"/>
    </row>
    <row r="748" spans="1:23">
      <c r="A748" s="21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3"/>
    </row>
    <row r="749" spans="1:23">
      <c r="A749" s="21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3"/>
    </row>
    <row r="750" spans="1:23">
      <c r="A750" s="21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3"/>
    </row>
    <row r="751" spans="1:23">
      <c r="A751" s="21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3"/>
    </row>
    <row r="752" spans="1:23">
      <c r="A752" s="21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3"/>
    </row>
    <row r="753" spans="1:23">
      <c r="A753" s="21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3"/>
    </row>
    <row r="754" spans="1:23">
      <c r="A754" s="21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3"/>
    </row>
    <row r="755" spans="1:23">
      <c r="A755" s="21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3"/>
    </row>
    <row r="756" spans="1:23">
      <c r="A756" s="21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3"/>
    </row>
    <row r="757" spans="1:23">
      <c r="A757" s="21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3"/>
    </row>
    <row r="758" spans="1:23">
      <c r="A758" s="21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3"/>
    </row>
    <row r="759" spans="1:23">
      <c r="A759" s="21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3"/>
    </row>
    <row r="760" spans="1:23">
      <c r="A760" s="21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3"/>
    </row>
    <row r="761" spans="1:23">
      <c r="A761" s="21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3"/>
    </row>
    <row r="762" spans="1:23">
      <c r="A762" s="21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3"/>
    </row>
    <row r="763" spans="1:23">
      <c r="A763" s="21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3"/>
    </row>
    <row r="764" spans="1:23">
      <c r="A764" s="21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3"/>
    </row>
    <row r="765" spans="1:23">
      <c r="A765" s="21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3"/>
    </row>
    <row r="766" spans="1:23">
      <c r="A766" s="21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3"/>
    </row>
    <row r="767" spans="1:23">
      <c r="A767" s="21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3"/>
    </row>
    <row r="768" spans="1:23">
      <c r="A768" s="21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3"/>
    </row>
    <row r="769" spans="1:23">
      <c r="A769" s="21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3"/>
    </row>
    <row r="770" spans="1:23">
      <c r="A770" s="21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3"/>
    </row>
    <row r="771" spans="1:23">
      <c r="A771" s="21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3"/>
    </row>
    <row r="772" spans="1:23">
      <c r="A772" s="21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3"/>
    </row>
    <row r="773" spans="1:23">
      <c r="A773" s="21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3"/>
    </row>
    <row r="774" spans="1:23">
      <c r="A774" s="21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3"/>
    </row>
    <row r="775" spans="1:23">
      <c r="A775" s="21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3"/>
    </row>
    <row r="776" spans="1:23">
      <c r="A776" s="21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3"/>
    </row>
    <row r="777" spans="1:23">
      <c r="A777" s="21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3"/>
    </row>
    <row r="778" spans="1:23">
      <c r="A778" s="21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3"/>
    </row>
    <row r="779" spans="1:23">
      <c r="A779" s="21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3"/>
    </row>
    <row r="780" spans="1:23">
      <c r="A780" s="21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3"/>
    </row>
    <row r="781" spans="1:23">
      <c r="A781" s="21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3"/>
    </row>
    <row r="782" spans="1:23">
      <c r="A782" s="21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3"/>
    </row>
    <row r="783" spans="1:23">
      <c r="A783" s="21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3"/>
    </row>
    <row r="784" spans="1:23">
      <c r="A784" s="21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3"/>
    </row>
    <row r="785" spans="1:23">
      <c r="A785" s="21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3"/>
    </row>
    <row r="786" spans="1:23">
      <c r="A786" s="21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3"/>
    </row>
    <row r="787" spans="1:23">
      <c r="A787" s="21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3"/>
    </row>
    <row r="788" spans="1:23">
      <c r="A788" s="21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3"/>
    </row>
    <row r="789" spans="1:23">
      <c r="A789" s="21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3"/>
    </row>
    <row r="790" spans="1:23">
      <c r="A790" s="21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3"/>
    </row>
    <row r="791" spans="1:23">
      <c r="A791" s="21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3"/>
    </row>
    <row r="792" spans="1:23">
      <c r="A792" s="21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3"/>
    </row>
    <row r="793" spans="1:23">
      <c r="A793" s="21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3"/>
    </row>
    <row r="794" spans="1:23">
      <c r="A794" s="21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3"/>
    </row>
    <row r="795" spans="1:23">
      <c r="A795" s="21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3"/>
    </row>
    <row r="796" spans="1:23">
      <c r="A796" s="21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3"/>
    </row>
    <row r="797" spans="1:23">
      <c r="A797" s="21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3"/>
    </row>
    <row r="798" spans="1:23">
      <c r="A798" s="21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3"/>
    </row>
    <row r="799" spans="1:23">
      <c r="A799" s="21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3"/>
    </row>
    <row r="800" spans="1:23">
      <c r="A800" s="21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3"/>
    </row>
    <row r="801" spans="1:23">
      <c r="A801" s="21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3"/>
    </row>
    <row r="802" spans="1:23">
      <c r="A802" s="21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3"/>
    </row>
    <row r="803" spans="1:23">
      <c r="A803" s="21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3"/>
    </row>
    <row r="804" spans="1:23">
      <c r="A804" s="21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3"/>
    </row>
    <row r="805" spans="1:23">
      <c r="A805" s="21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3"/>
    </row>
    <row r="806" spans="1:23">
      <c r="A806" s="21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3"/>
    </row>
    <row r="807" spans="1:23">
      <c r="A807" s="21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3"/>
    </row>
    <row r="808" spans="1:23">
      <c r="A808" s="21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3"/>
    </row>
    <row r="809" spans="1:23">
      <c r="A809" s="21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3"/>
    </row>
    <row r="810" spans="1:23">
      <c r="A810" s="21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3"/>
    </row>
    <row r="811" spans="1:23">
      <c r="A811" s="21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3"/>
    </row>
    <row r="812" spans="1:23">
      <c r="A812" s="21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3"/>
    </row>
    <row r="813" spans="1:23">
      <c r="A813" s="21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3"/>
    </row>
    <row r="814" spans="1:23">
      <c r="A814" s="21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3"/>
    </row>
    <row r="815" spans="1:23">
      <c r="A815" s="21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3"/>
    </row>
    <row r="816" spans="1:23">
      <c r="A816" s="21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3"/>
    </row>
    <row r="817" spans="1:23">
      <c r="A817" s="21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3"/>
    </row>
    <row r="818" spans="1:23">
      <c r="A818" s="21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3"/>
    </row>
    <row r="819" spans="1:23">
      <c r="A819" s="21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3"/>
    </row>
    <row r="820" spans="1:23">
      <c r="A820" s="21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3"/>
    </row>
    <row r="821" spans="1:23">
      <c r="A821" s="21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3"/>
    </row>
    <row r="822" spans="1:23">
      <c r="A822" s="21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3"/>
    </row>
    <row r="823" spans="1:23">
      <c r="A823" s="21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3"/>
    </row>
    <row r="824" spans="1:23">
      <c r="A824" s="21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3"/>
    </row>
    <row r="825" spans="1:23">
      <c r="A825" s="21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3"/>
    </row>
    <row r="826" spans="1:23">
      <c r="A826" s="21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3"/>
    </row>
    <row r="827" spans="1:23">
      <c r="A827" s="21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3"/>
    </row>
    <row r="828" spans="1:23">
      <c r="A828" s="21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3"/>
    </row>
    <row r="829" spans="1:23">
      <c r="A829" s="21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3"/>
    </row>
    <row r="830" spans="1:23">
      <c r="A830" s="21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3"/>
    </row>
    <row r="831" spans="1:23">
      <c r="A831" s="21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3"/>
    </row>
    <row r="832" spans="1:23">
      <c r="A832" s="21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3"/>
    </row>
    <row r="833" spans="1:23">
      <c r="A833" s="21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3"/>
    </row>
    <row r="834" spans="1:23">
      <c r="A834" s="21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3"/>
    </row>
    <row r="835" spans="1:23">
      <c r="A835" s="21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3"/>
    </row>
    <row r="836" spans="1:23">
      <c r="A836" s="21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3"/>
    </row>
    <row r="837" spans="1:23">
      <c r="A837" s="21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3"/>
    </row>
    <row r="838" spans="1:23">
      <c r="A838" s="21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3"/>
    </row>
    <row r="839" spans="1:23">
      <c r="A839" s="21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3"/>
    </row>
    <row r="840" spans="1:23">
      <c r="A840" s="21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3"/>
    </row>
    <row r="841" spans="1:23">
      <c r="A841" s="21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3"/>
    </row>
    <row r="842" spans="1:23">
      <c r="A842" s="21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3"/>
    </row>
    <row r="843" spans="1:23">
      <c r="A843" s="21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3"/>
    </row>
    <row r="844" spans="1:23">
      <c r="A844" s="21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3"/>
    </row>
    <row r="845" spans="1:23">
      <c r="A845" s="21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3"/>
    </row>
    <row r="846" spans="1:23">
      <c r="A846" s="21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3"/>
    </row>
    <row r="847" spans="1:23">
      <c r="A847" s="21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3"/>
    </row>
    <row r="848" spans="1:23">
      <c r="A848" s="21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3"/>
    </row>
    <row r="849" spans="1:23">
      <c r="A849" s="21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3"/>
    </row>
    <row r="850" spans="1:23">
      <c r="A850" s="21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3"/>
    </row>
    <row r="851" spans="1:23">
      <c r="A851" s="21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3"/>
    </row>
    <row r="852" spans="1:23">
      <c r="A852" s="21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3"/>
    </row>
    <row r="853" spans="1:23">
      <c r="A853" s="21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3"/>
    </row>
    <row r="854" spans="1:23">
      <c r="A854" s="21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3"/>
    </row>
    <row r="855" spans="1:23">
      <c r="A855" s="21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3"/>
    </row>
    <row r="856" spans="1:23">
      <c r="A856" s="21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3"/>
    </row>
    <row r="857" spans="1:23">
      <c r="A857" s="21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3"/>
    </row>
    <row r="858" spans="1:23">
      <c r="A858" s="21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3"/>
    </row>
    <row r="859" spans="1:23">
      <c r="A859" s="21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3"/>
    </row>
    <row r="860" spans="1:23">
      <c r="A860" s="21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3"/>
    </row>
    <row r="861" spans="1:23">
      <c r="A861" s="21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3"/>
    </row>
    <row r="862" spans="1:23">
      <c r="A862" s="21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3"/>
    </row>
    <row r="863" spans="1:23">
      <c r="A863" s="21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3"/>
    </row>
    <row r="864" spans="1:23">
      <c r="A864" s="21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3"/>
    </row>
    <row r="865" spans="1:23">
      <c r="A865" s="21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3"/>
    </row>
    <row r="866" spans="1:23">
      <c r="A866" s="21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3"/>
    </row>
    <row r="867" spans="1:23">
      <c r="A867" s="21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3"/>
    </row>
    <row r="868" spans="1:23">
      <c r="A868" s="21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3"/>
    </row>
    <row r="869" spans="1:23">
      <c r="A869" s="21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3"/>
    </row>
    <row r="870" spans="1:23">
      <c r="A870" s="21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3"/>
    </row>
    <row r="871" spans="1:23">
      <c r="A871" s="21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3"/>
    </row>
    <row r="872" spans="1:23">
      <c r="A872" s="21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3"/>
    </row>
    <row r="873" spans="1:23">
      <c r="A873" s="21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3"/>
    </row>
    <row r="874" spans="1:23">
      <c r="A874" s="21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3"/>
    </row>
    <row r="875" spans="1:23">
      <c r="A875" s="21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3"/>
    </row>
    <row r="876" spans="1:23">
      <c r="A876" s="21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3"/>
    </row>
    <row r="877" spans="1:23">
      <c r="A877" s="21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3"/>
    </row>
    <row r="878" spans="1:23">
      <c r="A878" s="21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3"/>
    </row>
    <row r="879" spans="1:23">
      <c r="A879" s="21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3"/>
    </row>
    <row r="880" spans="1:23">
      <c r="A880" s="21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3"/>
    </row>
    <row r="881" spans="1:23">
      <c r="A881" s="21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3"/>
    </row>
    <row r="882" spans="1:23">
      <c r="A882" s="21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3"/>
    </row>
    <row r="883" spans="1:23">
      <c r="A883" s="21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3"/>
    </row>
    <row r="884" spans="1:23">
      <c r="A884" s="21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3"/>
    </row>
    <row r="885" spans="1:23">
      <c r="A885" s="21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3"/>
    </row>
    <row r="886" spans="1:23">
      <c r="A886" s="21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3"/>
    </row>
    <row r="887" spans="1:23">
      <c r="A887" s="21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3"/>
    </row>
    <row r="888" spans="1:23">
      <c r="A888" s="21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3"/>
    </row>
    <row r="889" spans="1:23">
      <c r="A889" s="21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3"/>
    </row>
    <row r="890" spans="1:23">
      <c r="A890" s="21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3"/>
    </row>
    <row r="891" spans="1:23">
      <c r="A891" s="21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3"/>
    </row>
    <row r="892" spans="1:23">
      <c r="A892" s="21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3"/>
    </row>
    <row r="893" spans="1:23">
      <c r="A893" s="21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3"/>
    </row>
    <row r="894" spans="1:23">
      <c r="A894" s="21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3"/>
    </row>
    <row r="895" spans="1:23">
      <c r="A895" s="21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3"/>
    </row>
    <row r="896" spans="1:23">
      <c r="A896" s="21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3"/>
    </row>
    <row r="897" spans="1:23">
      <c r="A897" s="21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3"/>
    </row>
    <row r="898" spans="1:23">
      <c r="A898" s="21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3"/>
    </row>
    <row r="899" spans="1:23">
      <c r="A899" s="21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3"/>
    </row>
    <row r="900" spans="1:23">
      <c r="A900" s="21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3"/>
    </row>
    <row r="901" spans="1:23">
      <c r="A901" s="21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3"/>
    </row>
    <row r="902" spans="1:23">
      <c r="A902" s="21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3"/>
    </row>
    <row r="903" spans="1:23">
      <c r="A903" s="21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3"/>
    </row>
    <row r="904" spans="1:23">
      <c r="A904" s="21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3"/>
    </row>
    <row r="905" spans="1:23">
      <c r="A905" s="21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3"/>
    </row>
    <row r="906" spans="1:23">
      <c r="A906" s="21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3"/>
    </row>
    <row r="907" spans="1:23">
      <c r="A907" s="21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3"/>
    </row>
    <row r="908" spans="1:23">
      <c r="A908" s="21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3"/>
    </row>
    <row r="909" spans="1:23">
      <c r="A909" s="21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3"/>
    </row>
    <row r="910" spans="1:23">
      <c r="A910" s="21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3"/>
    </row>
    <row r="911" spans="1:23">
      <c r="A911" s="21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3"/>
    </row>
    <row r="912" spans="1:23">
      <c r="A912" s="21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3"/>
    </row>
    <row r="913" spans="1:23">
      <c r="A913" s="21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3"/>
    </row>
    <row r="914" spans="1:23">
      <c r="A914" s="21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3"/>
    </row>
    <row r="915" spans="1:23">
      <c r="A915" s="21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3"/>
    </row>
    <row r="916" spans="1:23">
      <c r="A916" s="21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3"/>
    </row>
    <row r="917" spans="1:23">
      <c r="A917" s="21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3"/>
    </row>
    <row r="918" spans="1:23">
      <c r="A918" s="21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3"/>
    </row>
    <row r="919" spans="1:23">
      <c r="A919" s="21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3"/>
    </row>
    <row r="920" spans="1:23">
      <c r="A920" s="21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3"/>
    </row>
    <row r="921" spans="1:23">
      <c r="A921" s="21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3"/>
    </row>
    <row r="922" spans="1:23">
      <c r="A922" s="21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3"/>
    </row>
    <row r="923" spans="1:23">
      <c r="A923" s="21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3"/>
    </row>
    <row r="924" spans="1:23">
      <c r="A924" s="21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3"/>
    </row>
    <row r="925" spans="1:23">
      <c r="A925" s="21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3"/>
    </row>
    <row r="926" spans="1:23">
      <c r="A926" s="21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3"/>
    </row>
    <row r="927" spans="1:23">
      <c r="A927" s="21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3"/>
    </row>
    <row r="928" spans="1:23">
      <c r="A928" s="21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3"/>
    </row>
    <row r="929" spans="1:23">
      <c r="A929" s="21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3"/>
    </row>
    <row r="930" spans="1:23">
      <c r="A930" s="21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3"/>
    </row>
    <row r="931" spans="1:23">
      <c r="A931" s="21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3"/>
    </row>
    <row r="932" spans="1:23">
      <c r="A932" s="21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3"/>
    </row>
    <row r="933" spans="1:23">
      <c r="A933" s="21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3"/>
    </row>
    <row r="934" spans="1:23">
      <c r="A934" s="21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3"/>
    </row>
    <row r="935" spans="1:23">
      <c r="A935" s="21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3"/>
    </row>
    <row r="936" spans="1:23">
      <c r="A936" s="21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3"/>
    </row>
    <row r="937" spans="1:23">
      <c r="A937" s="21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3"/>
    </row>
    <row r="938" spans="1:23">
      <c r="A938" s="21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3"/>
    </row>
    <row r="939" spans="1:23">
      <c r="A939" s="21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3"/>
    </row>
    <row r="940" spans="1:23">
      <c r="A940" s="21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3"/>
    </row>
    <row r="941" spans="1:23">
      <c r="A941" s="21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3"/>
    </row>
    <row r="942" spans="1:23">
      <c r="A942" s="21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3"/>
    </row>
    <row r="943" spans="1:23">
      <c r="A943" s="21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3"/>
    </row>
    <row r="944" spans="1:23">
      <c r="A944" s="21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3"/>
    </row>
    <row r="945" spans="1:23">
      <c r="A945" s="21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3"/>
    </row>
    <row r="946" spans="1:23">
      <c r="A946" s="21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3"/>
    </row>
    <row r="947" spans="1:23">
      <c r="A947" s="21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3"/>
    </row>
    <row r="948" spans="1:23">
      <c r="A948" s="21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3"/>
    </row>
    <row r="949" spans="1:23">
      <c r="A949" s="21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3"/>
    </row>
    <row r="950" spans="1:23">
      <c r="A950" s="21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3"/>
    </row>
    <row r="951" spans="1:23">
      <c r="A951" s="21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3"/>
    </row>
    <row r="952" spans="1:23">
      <c r="A952" s="21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3"/>
    </row>
    <row r="953" spans="1:23">
      <c r="A953" s="21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3"/>
    </row>
    <row r="954" spans="1:23">
      <c r="A954" s="21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3"/>
    </row>
    <row r="955" spans="1:23">
      <c r="A955" s="21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3"/>
    </row>
    <row r="956" spans="1:23">
      <c r="A956" s="21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3"/>
    </row>
    <row r="957" spans="1:23">
      <c r="A957" s="21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3"/>
    </row>
    <row r="958" spans="1:23">
      <c r="A958" s="21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3"/>
    </row>
    <row r="959" spans="1:23">
      <c r="A959" s="21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3"/>
    </row>
    <row r="960" spans="1:23">
      <c r="A960" s="21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3"/>
    </row>
    <row r="961" spans="1:23">
      <c r="A961" s="21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3"/>
    </row>
    <row r="962" spans="1:23">
      <c r="A962" s="21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3"/>
    </row>
    <row r="963" spans="1:23">
      <c r="A963" s="21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3"/>
    </row>
    <row r="964" spans="1:23">
      <c r="A964" s="21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3"/>
    </row>
    <row r="965" spans="1:23">
      <c r="A965" s="21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3"/>
    </row>
    <row r="966" spans="1:23">
      <c r="A966" s="21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3"/>
    </row>
    <row r="967" spans="1:23">
      <c r="A967" s="21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3"/>
    </row>
    <row r="968" spans="1:23">
      <c r="A968" s="21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3"/>
    </row>
    <row r="969" spans="1:23">
      <c r="A969" s="21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3"/>
    </row>
    <row r="970" spans="1:23">
      <c r="A970" s="21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3"/>
    </row>
    <row r="971" spans="1:23">
      <c r="A971" s="21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3"/>
    </row>
    <row r="972" spans="1:23">
      <c r="A972" s="21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3"/>
    </row>
    <row r="973" spans="1:23">
      <c r="A973" s="21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3"/>
    </row>
    <row r="974" spans="1:23">
      <c r="A974" s="21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3"/>
    </row>
    <row r="975" spans="1:23">
      <c r="A975" s="21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3"/>
    </row>
    <row r="976" spans="1:23">
      <c r="A976" s="21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3"/>
    </row>
    <row r="977" spans="1:23">
      <c r="A977" s="21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3"/>
    </row>
    <row r="978" spans="1:23">
      <c r="A978" s="21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3"/>
    </row>
    <row r="979" spans="1:23">
      <c r="A979" s="21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3"/>
    </row>
    <row r="980" spans="1:23">
      <c r="A980" s="21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3"/>
    </row>
    <row r="981" spans="1:23">
      <c r="A981" s="21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3"/>
    </row>
    <row r="982" spans="1:23">
      <c r="A982" s="21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3"/>
    </row>
    <row r="983" spans="1:23">
      <c r="A983" s="21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3"/>
    </row>
    <row r="984" spans="1:23">
      <c r="A984" s="21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3"/>
    </row>
    <row r="985" spans="1:23">
      <c r="A985" s="21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3"/>
    </row>
    <row r="986" spans="1:23">
      <c r="A986" s="21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3"/>
    </row>
    <row r="987" spans="1:23">
      <c r="A987" s="21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3"/>
    </row>
    <row r="988" spans="1:23">
      <c r="A988" s="21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3"/>
    </row>
    <row r="989" spans="1:23">
      <c r="A989" s="21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3"/>
    </row>
    <row r="990" spans="1:23">
      <c r="A990" s="21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3"/>
    </row>
    <row r="991" spans="1:23">
      <c r="A991" s="21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3"/>
    </row>
    <row r="992" spans="1:23">
      <c r="A992" s="21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3"/>
    </row>
    <row r="993" spans="1:23">
      <c r="A993" s="21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3"/>
    </row>
    <row r="994" spans="1:23">
      <c r="A994" s="21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3"/>
    </row>
    <row r="995" spans="1:23">
      <c r="A995" s="21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3"/>
    </row>
    <row r="996" spans="1:23">
      <c r="A996" s="21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3"/>
    </row>
    <row r="997" spans="1:23">
      <c r="A997" s="21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3"/>
    </row>
    <row r="998" spans="1:23">
      <c r="A998" s="21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3"/>
    </row>
    <row r="999" spans="1:23">
      <c r="A999" s="21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3"/>
    </row>
    <row r="1000" spans="1:23">
      <c r="A1000" s="21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3"/>
    </row>
    <row r="1001" spans="1:23">
      <c r="A1001" s="51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3"/>
    </row>
  </sheetData>
  <mergeCells count="14">
    <mergeCell ref="A85:J85"/>
    <mergeCell ref="K85:L85"/>
    <mergeCell ref="M85:O85"/>
    <mergeCell ref="C1:D1"/>
    <mergeCell ref="E1:F1"/>
    <mergeCell ref="G1:H1"/>
    <mergeCell ref="I1:J1"/>
    <mergeCell ref="M1:N1"/>
    <mergeCell ref="O1:P1"/>
    <mergeCell ref="Q1:R1"/>
    <mergeCell ref="S1:T1"/>
    <mergeCell ref="U1:V1"/>
    <mergeCell ref="D47:F47"/>
    <mergeCell ref="G47:I47"/>
  </mergeCells>
  <hyperlinks>
    <hyperlink ref="B2" r:id="rId1" xr:uid="{E8C8ACE3-10AC-4582-8775-83DBAD15FBBA}"/>
    <hyperlink ref="C2" r:id="rId2" xr:uid="{84E47F8A-A7CF-419B-A948-DA9DDC806C15}"/>
    <hyperlink ref="D2" r:id="rId3" xr:uid="{D39CF2E8-486D-430D-9857-3C00EA3D48E6}"/>
    <hyperlink ref="E2" r:id="rId4" xr:uid="{3FEFED78-7428-4D39-BD76-06F82D87D321}"/>
    <hyperlink ref="F2" r:id="rId5" xr:uid="{21E62699-5E4B-449E-80E7-0EC2FF63526A}"/>
    <hyperlink ref="G2" r:id="rId6" xr:uid="{0F9F54CD-40A3-4B02-84FE-151B434B9DDE}"/>
    <hyperlink ref="H2" r:id="rId7" xr:uid="{7F05437B-9513-410D-B9E0-823C4C974E17}"/>
    <hyperlink ref="I2" r:id="rId8" xr:uid="{66C2ECC1-F23C-430B-8B72-0FAA1D4591AA}"/>
    <hyperlink ref="J2" r:id="rId9" xr:uid="{15A5D7E5-13D8-4404-99A9-190BA6AA5948}"/>
    <hyperlink ref="L2" r:id="rId10" xr:uid="{5875A997-BFEE-46A7-9493-33D34E05AD80}"/>
    <hyperlink ref="M2" r:id="rId11" xr:uid="{3D8ECFC0-6AAB-4613-868D-EB622E25E208}"/>
    <hyperlink ref="N2" r:id="rId12" xr:uid="{017D32D3-CD86-4E36-8CC6-7B1F802F2981}"/>
    <hyperlink ref="O2" r:id="rId13" xr:uid="{E9AB1522-F378-4A79-AD72-1BD7EC8B3275}"/>
    <hyperlink ref="P2" r:id="rId14" xr:uid="{5A19AE1A-4799-4E93-80AE-266D94D87C8E}"/>
    <hyperlink ref="Q2" r:id="rId15" xr:uid="{9CC80301-8809-42F2-91AD-4888E0B74FEF}"/>
    <hyperlink ref="R2" r:id="rId16" xr:uid="{53B0F26B-BBF9-4056-B2CF-52C6DA66C21B}"/>
    <hyperlink ref="S2" r:id="rId17" xr:uid="{C38E313E-5FB9-4D43-B51B-C71DB77B8FA8}"/>
    <hyperlink ref="T2" r:id="rId18" xr:uid="{A08BFD70-4F0A-4970-8C8B-097FFA4FBB94}"/>
    <hyperlink ref="A3" r:id="rId19" xr:uid="{CEB24AFA-7443-4843-A8D7-92889CA2D1FA}"/>
    <hyperlink ref="A4" r:id="rId20" xr:uid="{14AB478F-4216-4888-A136-2DEF28E2C14A}"/>
    <hyperlink ref="A5" r:id="rId21" xr:uid="{5A92B216-10B4-4EA1-9305-86839FD00D0F}"/>
    <hyperlink ref="A6" r:id="rId22" xr:uid="{9622B7F2-1105-447F-A33F-DB38D72E4126}"/>
    <hyperlink ref="A7" r:id="rId23" xr:uid="{CAA21D35-A067-40A1-9D14-6A88051093FE}"/>
    <hyperlink ref="A8" r:id="rId24" xr:uid="{842C5E22-D0C5-42CC-9059-31A3DFEEFA64}"/>
    <hyperlink ref="A9" r:id="rId25" xr:uid="{D2C6F3D2-BC09-48FD-8AA9-60F54A0404C3}"/>
    <hyperlink ref="A10" r:id="rId26" xr:uid="{67B162A1-28A6-47F8-B0C0-D834B49EF2A2}"/>
    <hyperlink ref="A11" r:id="rId27" xr:uid="{3506B204-20CB-43FE-8C15-A2055EC59385}"/>
    <hyperlink ref="A12" r:id="rId28" xr:uid="{C80D1C94-46E8-4F1F-9912-50C5F89F6691}"/>
    <hyperlink ref="A13" r:id="rId29" xr:uid="{126F63C7-926D-40D9-9FC9-E9E51C5998DD}"/>
    <hyperlink ref="A14" r:id="rId30" xr:uid="{74EAA8A5-7DD6-485E-BDF1-1DC4F1055CB6}"/>
    <hyperlink ref="A15" r:id="rId31" xr:uid="{60E4D6AF-4A8B-44A6-8CF2-B9D0B44EA872}"/>
    <hyperlink ref="A16" r:id="rId32" xr:uid="{9B74680E-65A5-4DE6-B9E3-0E686CCB5D23}"/>
    <hyperlink ref="A17" r:id="rId33" xr:uid="{F1B6F866-818F-48D1-9F76-5C1E2B90B916}"/>
    <hyperlink ref="A18" r:id="rId34" xr:uid="{C226E63E-4B23-49B5-A29C-0B7FC99AB26B}"/>
    <hyperlink ref="A19" r:id="rId35" xr:uid="{D66B68FD-8E66-4CCA-BADE-A9087698B18E}"/>
    <hyperlink ref="A20" r:id="rId36" xr:uid="{D53DD247-3821-4F6F-8BB5-D81110AA268F}"/>
    <hyperlink ref="A21" r:id="rId37" xr:uid="{64CA29C1-2450-41D6-B77C-FAA81A214770}"/>
    <hyperlink ref="A22" r:id="rId38" xr:uid="{EBB60AD4-52DE-426C-B742-DDC87914235B}"/>
    <hyperlink ref="A23" r:id="rId39" xr:uid="{D715D9D2-D6AE-452F-A20B-93610B9785CC}"/>
    <hyperlink ref="A24" r:id="rId40" xr:uid="{4FE03E70-674B-470F-A6A8-8837F1891B35}"/>
    <hyperlink ref="A25" r:id="rId41" xr:uid="{88A49B50-9BC2-4C18-B5FF-873FF6B2DB91}"/>
    <hyperlink ref="A26" r:id="rId42" xr:uid="{C74A65D8-691D-4BA4-B69D-0ECFB31FB576}"/>
    <hyperlink ref="A27" r:id="rId43" xr:uid="{963185AF-9F86-48F7-A7F8-2B9E924B0A74}"/>
    <hyperlink ref="A28" r:id="rId44" xr:uid="{9C8E7A71-97D7-4B0F-A861-1252AC09AC7A}"/>
    <hyperlink ref="A29" r:id="rId45" xr:uid="{46B2492F-78F5-412D-9795-ED9F766396FA}"/>
    <hyperlink ref="A30" r:id="rId46" xr:uid="{3BEDAE62-70C8-4F60-AB48-70D9EB76B6C2}"/>
    <hyperlink ref="A31" r:id="rId47" xr:uid="{FB3410CE-EFDD-4802-86B6-B8CFBF8ED49C}"/>
    <hyperlink ref="A32" r:id="rId48" xr:uid="{5B80B1EA-8485-44E7-BFF6-B668CCDDDC34}"/>
    <hyperlink ref="A33" r:id="rId49" xr:uid="{244F3119-7CB3-45E9-93F1-89829D52BB16}"/>
    <hyperlink ref="A34" r:id="rId50" xr:uid="{CA01E2CD-8B3F-4B75-BF23-6E1386CA88B6}"/>
    <hyperlink ref="B48" r:id="rId51" xr:uid="{AB3D47CB-BD33-41BA-A649-DFE8B6E85C5F}"/>
    <hyperlink ref="C48" r:id="rId52" xr:uid="{698001B4-F125-4803-932B-D565C1ED3829}"/>
    <hyperlink ref="D48" r:id="rId53" xr:uid="{F56DC2EA-26F3-4DD5-85FC-95B2D6C8E8AF}"/>
    <hyperlink ref="E48" r:id="rId54" xr:uid="{26AC05BB-48E4-4458-8AD6-4CCE3C0CB9D1}"/>
    <hyperlink ref="F48" r:id="rId55" xr:uid="{F39DF904-DDA2-451E-AD0E-35470BA61690}"/>
    <hyperlink ref="G48" r:id="rId56" xr:uid="{A3302198-F753-4DBD-AEDC-4B7C86BC5337}"/>
    <hyperlink ref="H48" r:id="rId57" xr:uid="{23A2EF84-D7DF-4925-A89C-0F2EBE7A6EAC}"/>
    <hyperlink ref="I48" r:id="rId58" xr:uid="{E1129DEF-E42C-4745-914B-00131AA99D58}"/>
    <hyperlink ref="A49" r:id="rId59" xr:uid="{9F99A221-A456-41BA-9447-3146420DCB06}"/>
    <hyperlink ref="A50" r:id="rId60" xr:uid="{FDDED507-C475-458B-912F-7AB2DD11619D}"/>
    <hyperlink ref="A51" r:id="rId61" xr:uid="{DB30D335-E9B2-41AF-8AEB-7D18B9B12CB8}"/>
    <hyperlink ref="A52" r:id="rId62" xr:uid="{F7FEC7DE-6D94-4814-9FFC-363C5F6C7F6B}"/>
    <hyperlink ref="A53" r:id="rId63" xr:uid="{7836A3FF-A336-4704-B949-2C885F17C2A6}"/>
    <hyperlink ref="A54" r:id="rId64" xr:uid="{2D27A64E-4EF3-472E-AC29-EAB81A657323}"/>
    <hyperlink ref="A55" r:id="rId65" xr:uid="{C3B6D0D8-0599-413D-85D0-D9D5AF527935}"/>
    <hyperlink ref="A56" r:id="rId66" xr:uid="{17E1A9F9-F0F9-47CD-A2CF-ADBEC02803A3}"/>
    <hyperlink ref="A57" r:id="rId67" xr:uid="{2280F22F-6FEE-4ADA-B4C4-E1953F90218D}"/>
    <hyperlink ref="A58" r:id="rId68" xr:uid="{70AFED1F-F8B0-4C51-B5A0-B74FF9A313D1}"/>
    <hyperlink ref="A59" r:id="rId69" xr:uid="{321AED13-A640-46C2-8444-A01C630689E1}"/>
    <hyperlink ref="A60" r:id="rId70" xr:uid="{3D7EC772-2E99-4944-810E-00AB35DD5CD4}"/>
    <hyperlink ref="A61" r:id="rId71" xr:uid="{5F112052-8B4E-4916-B185-A9B713C2C22D}"/>
    <hyperlink ref="A62" r:id="rId72" xr:uid="{33726A8D-FF72-4996-929B-70618B202A87}"/>
    <hyperlink ref="A63" r:id="rId73" xr:uid="{E5DC6ED6-42BE-490E-A295-6338EFB496D5}"/>
    <hyperlink ref="A64" r:id="rId74" xr:uid="{8426CC8B-4BD9-4EDD-AE4A-F3DFDF4EA8D7}"/>
    <hyperlink ref="A65" r:id="rId75" xr:uid="{32F122A5-270F-4F54-A5D0-5415431C2B19}"/>
    <hyperlink ref="A66" r:id="rId76" xr:uid="{3AF69BC7-6E15-4FD6-874E-1043BB1E8466}"/>
    <hyperlink ref="A67" r:id="rId77" xr:uid="{A939178A-E700-476B-85CA-51469AE15C3B}"/>
    <hyperlink ref="A68" r:id="rId78" xr:uid="{96DD3339-303A-4D09-B9D8-7BCDC8A54C65}"/>
    <hyperlink ref="A69" r:id="rId79" xr:uid="{C29CF7A7-E78A-467B-80CB-6FD55CE9DAAE}"/>
    <hyperlink ref="A70" r:id="rId80" xr:uid="{EDC1096E-4B3F-46BF-9FF6-E70119AF15A9}"/>
    <hyperlink ref="A71" r:id="rId81" xr:uid="{F1A3EEFA-B127-4128-9741-554747DC8708}"/>
    <hyperlink ref="A72" r:id="rId82" xr:uid="{40E29B06-6FE0-42CF-A7AB-F0C8B573D83A}"/>
    <hyperlink ref="A73" r:id="rId83" xr:uid="{B42FF0D1-976F-44F2-AF3A-7AD900FC2C29}"/>
    <hyperlink ref="A74" r:id="rId84" xr:uid="{EF25CC3A-612F-49E2-8C68-01CFD7ADA3B7}"/>
    <hyperlink ref="A75" r:id="rId85" xr:uid="{D2F39049-92AF-4DCA-B702-52F07C8E5C7E}"/>
    <hyperlink ref="A76" r:id="rId86" xr:uid="{29776A6B-0B8E-48C0-A380-5EEB36A9EE65}"/>
    <hyperlink ref="A77" r:id="rId87" xr:uid="{10A5D7C2-249D-425E-A877-F8AC960E3EF0}"/>
    <hyperlink ref="A78" r:id="rId88" xr:uid="{2799A21F-06DB-4673-9626-F5BD1026B3E1}"/>
    <hyperlink ref="A79" r:id="rId89" xr:uid="{751DD0E3-8357-44EA-A40F-BD912080D621}"/>
    <hyperlink ref="A80" r:id="rId90" xr:uid="{D640D4B3-E5BF-4DBF-BDE7-67158A526CEB}"/>
    <hyperlink ref="A86" r:id="rId91" xr:uid="{CFB334BE-5A5D-47F6-AA77-EA618CC0FB50}"/>
    <hyperlink ref="B86" r:id="rId92" xr:uid="{56393DEC-B26B-4190-9F9C-8A52D043FEE1}"/>
    <hyperlink ref="C86" r:id="rId93" xr:uid="{8220D422-A0CD-4E7B-A000-DC67641DD23C}"/>
    <hyperlink ref="D86" r:id="rId94" xr:uid="{82347DD3-EB41-46AD-B749-3CF93D601A9E}"/>
    <hyperlink ref="E86" r:id="rId95" xr:uid="{49504B8D-F42B-4930-BBCE-F7A22719D696}"/>
    <hyperlink ref="F86" r:id="rId96" xr:uid="{06190584-CA29-4408-8D15-191182CDE60F}"/>
    <hyperlink ref="G86" r:id="rId97" xr:uid="{EBDE4B52-E2B5-4AF2-8565-5C7E747E73B5}"/>
    <hyperlink ref="H86" r:id="rId98" xr:uid="{DE0D8A24-284C-4629-A3F4-9D4BB5643CFD}"/>
    <hyperlink ref="I86" r:id="rId99" xr:uid="{4AFD807E-EA97-4236-8EA0-59F112206B03}"/>
    <hyperlink ref="J86" r:id="rId100" xr:uid="{39608C4C-5C3D-4D79-A570-133EC30ED406}"/>
    <hyperlink ref="K86" r:id="rId101" xr:uid="{A62FE624-5EAF-43AA-9A78-5B72030BAFC4}"/>
    <hyperlink ref="L86" r:id="rId102" xr:uid="{49A3F3E6-43AC-4846-9B9D-FE596B9140E4}"/>
    <hyperlink ref="M86" r:id="rId103" xr:uid="{A9A929F2-9CE7-43D5-A79F-7082E8828CB8}"/>
    <hyperlink ref="N86" r:id="rId104" xr:uid="{A4AB4195-0BD9-4F16-9D16-C8A637844031}"/>
    <hyperlink ref="O86" r:id="rId105" xr:uid="{336BCD95-AB6C-490F-963E-1AD8AA738328}"/>
    <hyperlink ref="P86" r:id="rId106" xr:uid="{11AC5DDA-493D-4CC5-9437-84D43321C1E0}"/>
    <hyperlink ref="A87" r:id="rId107" xr:uid="{134C0B26-2A15-44E3-A1C1-4B2820A3053C}"/>
    <hyperlink ref="A88" r:id="rId108" xr:uid="{BB675893-818A-4B37-8E00-127CB49A8EB3}"/>
    <hyperlink ref="A89" r:id="rId109" xr:uid="{D6E1C502-0BF2-4646-9B4D-21079619E272}"/>
    <hyperlink ref="A90" r:id="rId110" xr:uid="{5492CA03-08BD-452D-96A0-545EA885B937}"/>
    <hyperlink ref="A91" r:id="rId111" xr:uid="{034B2A70-6C70-41BA-B0E6-9BE09E144FCE}"/>
    <hyperlink ref="A92" r:id="rId112" xr:uid="{72FD0CFB-19CC-4314-84AB-5F5731C17DBF}"/>
    <hyperlink ref="A93" r:id="rId113" xr:uid="{F17C2BC7-8383-4E7D-839D-DFF6015AA295}"/>
    <hyperlink ref="A94" r:id="rId114" xr:uid="{63C6EC22-75E6-4A6F-9E23-FB08288CECA9}"/>
    <hyperlink ref="A95" r:id="rId115" xr:uid="{63C3E946-D576-4509-9349-D863D6B3F047}"/>
    <hyperlink ref="A96" r:id="rId116" xr:uid="{62AB1D18-8B04-44B0-8D2D-8C3153D59C83}"/>
    <hyperlink ref="A97" r:id="rId117" xr:uid="{D07694F7-90B9-43E4-A3F5-FE779D7803C2}"/>
    <hyperlink ref="A98" r:id="rId118" xr:uid="{ADBF726B-D451-4B18-9571-E0D741D63DAC}"/>
    <hyperlink ref="A99" r:id="rId119" xr:uid="{A8379111-5D7C-40AA-8E7E-B91FA6AAB967}"/>
    <hyperlink ref="A100" r:id="rId120" xr:uid="{83173352-E2A1-4317-814F-E13DEF012EC8}"/>
    <hyperlink ref="A101" r:id="rId121" xr:uid="{EA726606-5B44-42F2-9F11-09EF91BE0C50}"/>
    <hyperlink ref="A102" r:id="rId122" xr:uid="{103EFB2B-126C-4AC6-8BFE-A053F1265562}"/>
    <hyperlink ref="A103" r:id="rId123" xr:uid="{0C0BADFB-BBEB-411C-89C6-3C82D0B88F59}"/>
    <hyperlink ref="A104" r:id="rId124" xr:uid="{F37BF6C5-0D71-460C-B2B9-E0B38A95ECB0}"/>
    <hyperlink ref="A105" r:id="rId125" xr:uid="{4B20E05B-5030-4F22-A76F-C3CFE4F51D69}"/>
    <hyperlink ref="A106" r:id="rId126" xr:uid="{F7A69F55-7A13-4587-AC6C-ADB2C56DD95D}"/>
    <hyperlink ref="A107" r:id="rId127" xr:uid="{289A03E2-A6A5-496A-9F63-1AE6827459FF}"/>
    <hyperlink ref="A108" r:id="rId128" xr:uid="{A1A0111E-38EC-46B7-AFB1-0E290DADD7B0}"/>
    <hyperlink ref="A109" r:id="rId129" xr:uid="{A8866507-43AD-4B03-92BA-1B46C9F7E07F}"/>
    <hyperlink ref="A110" r:id="rId130" xr:uid="{BC45B46B-50DC-4F98-B850-DE8049D5BB32}"/>
    <hyperlink ref="A111" r:id="rId131" xr:uid="{30DD91DD-506A-4063-9B6C-27975C002DEA}"/>
    <hyperlink ref="A112" r:id="rId132" xr:uid="{8CD7F927-19AE-494D-97B5-D2FD8ADDDFA4}"/>
    <hyperlink ref="A113" r:id="rId133" xr:uid="{F299D6B8-2297-468A-B841-E1D1BFB73039}"/>
    <hyperlink ref="A114" r:id="rId134" xr:uid="{FFD1E764-80B9-4E35-966A-BFBA6395F5E5}"/>
    <hyperlink ref="A115" r:id="rId135" xr:uid="{92AFB12D-D5C3-46B7-AE22-7B13CD53EF1A}"/>
    <hyperlink ref="A116" r:id="rId136" xr:uid="{17E94006-655F-441E-A21F-04E17863036F}"/>
    <hyperlink ref="A117" r:id="rId137" xr:uid="{FA4A9FFC-5C05-4F47-8D5D-45420FCC9CDB}"/>
    <hyperlink ref="A118" r:id="rId138" xr:uid="{0905065F-7335-42C1-9D24-D31CEE05E9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A4FA-6B07-46B7-931C-6AB01298FFE1}">
  <dimension ref="A1:Z1000"/>
  <sheetViews>
    <sheetView workbookViewId="0">
      <selection activeCell="P7" sqref="P7"/>
    </sheetView>
  </sheetViews>
  <sheetFormatPr defaultRowHeight="15"/>
  <cols>
    <col min="1" max="1" width="22.28515625" bestFit="1" customWidth="1"/>
    <col min="2" max="2" width="13.140625" bestFit="1" customWidth="1"/>
    <col min="3" max="3" width="13.5703125" bestFit="1" customWidth="1"/>
    <col min="4" max="4" width="7.85546875" bestFit="1" customWidth="1"/>
  </cols>
  <sheetData>
    <row r="1" spans="1:26" ht="15.75">
      <c r="A1" s="54" t="s">
        <v>84</v>
      </c>
      <c r="B1" s="55" t="s">
        <v>165</v>
      </c>
      <c r="C1" s="55" t="s">
        <v>166</v>
      </c>
      <c r="D1" s="55" t="s">
        <v>167</v>
      </c>
      <c r="E1" s="55" t="s">
        <v>168</v>
      </c>
      <c r="F1" s="55" t="s">
        <v>169</v>
      </c>
      <c r="G1" s="55" t="s">
        <v>170</v>
      </c>
      <c r="H1" s="55" t="s">
        <v>171</v>
      </c>
      <c r="I1" s="55" t="s">
        <v>82</v>
      </c>
      <c r="J1" s="55" t="s">
        <v>83</v>
      </c>
      <c r="K1" s="55" t="s">
        <v>172</v>
      </c>
      <c r="L1" s="55" t="s">
        <v>173</v>
      </c>
      <c r="M1" s="55" t="s">
        <v>174</v>
      </c>
      <c r="N1" s="55" t="s">
        <v>175</v>
      </c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7"/>
    </row>
    <row r="2" spans="1:26">
      <c r="A2" s="58" t="s">
        <v>35</v>
      </c>
      <c r="B2" s="59">
        <v>4354</v>
      </c>
      <c r="C2" s="59">
        <v>1583</v>
      </c>
      <c r="D2" s="59">
        <v>355</v>
      </c>
      <c r="E2" s="59">
        <v>4128</v>
      </c>
      <c r="F2" s="59">
        <v>2158</v>
      </c>
      <c r="G2" s="59">
        <v>488</v>
      </c>
      <c r="H2" s="59">
        <v>4</v>
      </c>
      <c r="I2" s="59">
        <v>19</v>
      </c>
      <c r="J2" s="59">
        <v>15</v>
      </c>
      <c r="K2" s="59">
        <v>25.1</v>
      </c>
      <c r="L2" s="59">
        <v>11.4</v>
      </c>
      <c r="M2" s="59">
        <v>-133</v>
      </c>
      <c r="N2" s="59">
        <v>-349</v>
      </c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1"/>
    </row>
    <row r="3" spans="1:26">
      <c r="A3" s="21" t="s">
        <v>30</v>
      </c>
      <c r="B3" s="22">
        <v>3703</v>
      </c>
      <c r="C3" s="22">
        <v>2138</v>
      </c>
      <c r="D3" s="22">
        <v>353</v>
      </c>
      <c r="E3" s="22">
        <v>3773</v>
      </c>
      <c r="F3" s="22">
        <v>2146</v>
      </c>
      <c r="G3" s="22">
        <v>401</v>
      </c>
      <c r="H3" s="22">
        <v>9</v>
      </c>
      <c r="I3" s="22">
        <v>23</v>
      </c>
      <c r="J3" s="22">
        <v>14</v>
      </c>
      <c r="K3" s="22">
        <v>22.9</v>
      </c>
      <c r="L3" s="22">
        <v>7</v>
      </c>
      <c r="M3" s="22">
        <v>-48</v>
      </c>
      <c r="N3" s="22">
        <v>-78</v>
      </c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1"/>
    </row>
    <row r="4" spans="1:26">
      <c r="A4" s="58" t="s">
        <v>32</v>
      </c>
      <c r="B4" s="59">
        <v>3278</v>
      </c>
      <c r="C4" s="59">
        <v>2662</v>
      </c>
      <c r="D4" s="59">
        <v>424</v>
      </c>
      <c r="E4" s="59">
        <v>4403</v>
      </c>
      <c r="F4" s="59">
        <v>1813</v>
      </c>
      <c r="G4" s="59">
        <v>398</v>
      </c>
      <c r="H4" s="59">
        <v>2</v>
      </c>
      <c r="I4" s="59">
        <v>20</v>
      </c>
      <c r="J4" s="59">
        <v>18</v>
      </c>
      <c r="K4" s="59">
        <v>25.8</v>
      </c>
      <c r="L4" s="59">
        <v>12.4</v>
      </c>
      <c r="M4" s="59">
        <v>26</v>
      </c>
      <c r="N4" s="59">
        <v>-276</v>
      </c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1"/>
    </row>
    <row r="5" spans="1:26">
      <c r="A5" s="21" t="s">
        <v>20</v>
      </c>
      <c r="B5" s="22">
        <v>3981</v>
      </c>
      <c r="C5" s="22">
        <v>2714</v>
      </c>
      <c r="D5" s="22">
        <v>481</v>
      </c>
      <c r="E5" s="22">
        <v>2894</v>
      </c>
      <c r="F5" s="22">
        <v>2315</v>
      </c>
      <c r="G5" s="22">
        <v>365</v>
      </c>
      <c r="H5" s="22">
        <v>5</v>
      </c>
      <c r="I5" s="22">
        <v>20</v>
      </c>
      <c r="J5" s="22">
        <v>15</v>
      </c>
      <c r="K5" s="22">
        <v>24.5</v>
      </c>
      <c r="L5" s="22">
        <v>9</v>
      </c>
      <c r="M5" s="22">
        <v>116</v>
      </c>
      <c r="N5" s="22">
        <v>1486</v>
      </c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1"/>
    </row>
    <row r="6" spans="1:26">
      <c r="A6" s="58" t="s">
        <v>43</v>
      </c>
      <c r="B6" s="59">
        <v>3304</v>
      </c>
      <c r="C6" s="59">
        <v>1977</v>
      </c>
      <c r="D6" s="59">
        <v>311</v>
      </c>
      <c r="E6" s="59">
        <v>3657</v>
      </c>
      <c r="F6" s="59">
        <v>2096</v>
      </c>
      <c r="G6" s="59">
        <v>380</v>
      </c>
      <c r="H6" s="59">
        <v>3</v>
      </c>
      <c r="I6" s="59">
        <v>21</v>
      </c>
      <c r="J6" s="59">
        <v>18</v>
      </c>
      <c r="K6" s="59">
        <v>24</v>
      </c>
      <c r="L6" s="59">
        <v>9</v>
      </c>
      <c r="M6" s="59">
        <v>-69</v>
      </c>
      <c r="N6" s="59">
        <v>-472</v>
      </c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1"/>
    </row>
    <row r="7" spans="1:26">
      <c r="A7" s="21" t="s">
        <v>22</v>
      </c>
      <c r="B7" s="22">
        <v>3991</v>
      </c>
      <c r="C7" s="22">
        <v>2451</v>
      </c>
      <c r="D7" s="22">
        <v>441</v>
      </c>
      <c r="E7" s="22">
        <v>4067</v>
      </c>
      <c r="F7" s="22">
        <v>2287</v>
      </c>
      <c r="G7" s="22">
        <v>415</v>
      </c>
      <c r="H7" s="22">
        <v>21</v>
      </c>
      <c r="I7" s="22">
        <v>33</v>
      </c>
      <c r="J7" s="22">
        <v>12</v>
      </c>
      <c r="K7" s="22">
        <v>26.4</v>
      </c>
      <c r="L7" s="22">
        <v>11</v>
      </c>
      <c r="M7" s="22">
        <v>26</v>
      </c>
      <c r="N7" s="22">
        <v>88</v>
      </c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1"/>
    </row>
    <row r="8" spans="1:26">
      <c r="A8" s="58" t="s">
        <v>33</v>
      </c>
      <c r="B8" s="59">
        <v>4244</v>
      </c>
      <c r="C8" s="59">
        <v>1591</v>
      </c>
      <c r="D8" s="59">
        <v>414</v>
      </c>
      <c r="E8" s="59">
        <v>4175</v>
      </c>
      <c r="F8" s="59">
        <v>2100</v>
      </c>
      <c r="G8" s="59">
        <v>492</v>
      </c>
      <c r="H8" s="59">
        <v>-2</v>
      </c>
      <c r="I8" s="59">
        <v>20</v>
      </c>
      <c r="J8" s="59">
        <v>22</v>
      </c>
      <c r="K8" s="59">
        <v>25</v>
      </c>
      <c r="L8" s="59">
        <v>9</v>
      </c>
      <c r="M8" s="59">
        <v>-78</v>
      </c>
      <c r="N8" s="59">
        <v>-440</v>
      </c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1"/>
    </row>
    <row r="9" spans="1:26">
      <c r="A9" s="21" t="s">
        <v>46</v>
      </c>
      <c r="B9" s="22">
        <v>3152</v>
      </c>
      <c r="C9" s="22">
        <v>1649</v>
      </c>
      <c r="D9" s="22">
        <v>279</v>
      </c>
      <c r="E9" s="22">
        <v>3220</v>
      </c>
      <c r="F9" s="22">
        <v>1979</v>
      </c>
      <c r="G9" s="22">
        <v>379</v>
      </c>
      <c r="H9" s="22">
        <v>-6</v>
      </c>
      <c r="I9" s="22">
        <v>18</v>
      </c>
      <c r="J9" s="22">
        <v>24</v>
      </c>
      <c r="K9" s="22">
        <v>24</v>
      </c>
      <c r="L9" s="22">
        <v>9</v>
      </c>
      <c r="M9" s="22">
        <v>-100</v>
      </c>
      <c r="N9" s="22">
        <v>-398</v>
      </c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1"/>
    </row>
    <row r="10" spans="1:26">
      <c r="A10" s="58" t="s">
        <v>18</v>
      </c>
      <c r="B10" s="59">
        <v>4735</v>
      </c>
      <c r="C10" s="59">
        <v>2136</v>
      </c>
      <c r="D10" s="59">
        <v>471</v>
      </c>
      <c r="E10" s="59">
        <v>4521</v>
      </c>
      <c r="F10" s="59">
        <v>2200</v>
      </c>
      <c r="G10" s="59">
        <v>511</v>
      </c>
      <c r="H10" s="59">
        <v>-6</v>
      </c>
      <c r="I10" s="59">
        <v>12</v>
      </c>
      <c r="J10" s="59">
        <v>18</v>
      </c>
      <c r="K10" s="59">
        <v>25.6</v>
      </c>
      <c r="L10" s="59">
        <v>6.8</v>
      </c>
      <c r="M10" s="59">
        <v>-40</v>
      </c>
      <c r="N10" s="59">
        <v>150</v>
      </c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1"/>
    </row>
    <row r="11" spans="1:26">
      <c r="A11" s="21" t="s">
        <v>26</v>
      </c>
      <c r="B11" s="22">
        <v>3931</v>
      </c>
      <c r="C11" s="22">
        <v>2018</v>
      </c>
      <c r="D11" s="22">
        <v>401</v>
      </c>
      <c r="E11" s="22">
        <v>3606</v>
      </c>
      <c r="F11" s="22">
        <v>1548</v>
      </c>
      <c r="G11" s="22">
        <v>311</v>
      </c>
      <c r="H11" s="22">
        <v>-2</v>
      </c>
      <c r="I11" s="22">
        <v>14</v>
      </c>
      <c r="J11" s="22">
        <v>16</v>
      </c>
      <c r="K11" s="22">
        <v>25.3</v>
      </c>
      <c r="L11" s="22">
        <v>14.2</v>
      </c>
      <c r="M11" s="22">
        <v>90</v>
      </c>
      <c r="N11" s="22">
        <v>795</v>
      </c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1"/>
    </row>
    <row r="12" spans="1:26">
      <c r="A12" s="58" t="s">
        <v>21</v>
      </c>
      <c r="B12" s="59">
        <v>4567</v>
      </c>
      <c r="C12" s="59">
        <v>2041</v>
      </c>
      <c r="D12" s="59">
        <v>481</v>
      </c>
      <c r="E12" s="59">
        <v>4027</v>
      </c>
      <c r="F12" s="59">
        <v>1947</v>
      </c>
      <c r="G12" s="59">
        <v>413</v>
      </c>
      <c r="H12" s="59">
        <v>6</v>
      </c>
      <c r="I12" s="59">
        <v>19</v>
      </c>
      <c r="J12" s="59">
        <v>13</v>
      </c>
      <c r="K12" s="59">
        <v>26.6</v>
      </c>
      <c r="L12" s="59">
        <v>8.3000000000000007</v>
      </c>
      <c r="M12" s="59">
        <v>68</v>
      </c>
      <c r="N12" s="59">
        <v>634</v>
      </c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1"/>
    </row>
    <row r="13" spans="1:26">
      <c r="A13" s="21" t="s">
        <v>31</v>
      </c>
      <c r="B13" s="22">
        <v>3845</v>
      </c>
      <c r="C13" s="22">
        <v>2037</v>
      </c>
      <c r="D13" s="22">
        <v>391</v>
      </c>
      <c r="E13" s="22">
        <v>3516</v>
      </c>
      <c r="F13" s="22">
        <v>2001</v>
      </c>
      <c r="G13" s="22">
        <v>360</v>
      </c>
      <c r="H13" s="22">
        <v>2</v>
      </c>
      <c r="I13" s="22">
        <v>14</v>
      </c>
      <c r="J13" s="22">
        <v>12</v>
      </c>
      <c r="K13" s="22">
        <v>25.2</v>
      </c>
      <c r="L13" s="22">
        <v>5.6</v>
      </c>
      <c r="M13" s="22">
        <v>31</v>
      </c>
      <c r="N13" s="22">
        <v>365</v>
      </c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1"/>
    </row>
    <row r="14" spans="1:26">
      <c r="A14" s="58" t="s">
        <v>34</v>
      </c>
      <c r="B14" s="59">
        <v>3956</v>
      </c>
      <c r="C14" s="59">
        <v>1852</v>
      </c>
      <c r="D14" s="59">
        <v>404</v>
      </c>
      <c r="E14" s="59">
        <v>3486</v>
      </c>
      <c r="F14" s="59">
        <v>1593</v>
      </c>
      <c r="G14" s="59">
        <v>295</v>
      </c>
      <c r="H14" s="59">
        <v>14</v>
      </c>
      <c r="I14" s="59">
        <v>29</v>
      </c>
      <c r="J14" s="59">
        <v>15</v>
      </c>
      <c r="K14" s="59">
        <v>26.1</v>
      </c>
      <c r="L14" s="59">
        <v>10.6</v>
      </c>
      <c r="M14" s="59">
        <v>109</v>
      </c>
      <c r="N14" s="59">
        <v>729</v>
      </c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1"/>
    </row>
    <row r="15" spans="1:26">
      <c r="A15" s="21" t="s">
        <v>25</v>
      </c>
      <c r="B15" s="22">
        <v>4085</v>
      </c>
      <c r="C15" s="22">
        <v>2002</v>
      </c>
      <c r="D15" s="22">
        <v>466</v>
      </c>
      <c r="E15" s="22">
        <v>4462</v>
      </c>
      <c r="F15" s="22">
        <v>1732</v>
      </c>
      <c r="G15" s="22">
        <v>412</v>
      </c>
      <c r="H15" s="22">
        <v>2</v>
      </c>
      <c r="I15" s="22">
        <v>21</v>
      </c>
      <c r="J15" s="22">
        <v>19</v>
      </c>
      <c r="K15" s="22">
        <v>28.8</v>
      </c>
      <c r="L15" s="22">
        <v>9.1</v>
      </c>
      <c r="M15" s="22">
        <v>54</v>
      </c>
      <c r="N15" s="22">
        <v>-107</v>
      </c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1"/>
    </row>
    <row r="16" spans="1:26">
      <c r="A16" s="58" t="s">
        <v>27</v>
      </c>
      <c r="B16" s="59">
        <v>4026</v>
      </c>
      <c r="C16" s="59">
        <v>1956</v>
      </c>
      <c r="D16" s="59">
        <v>474</v>
      </c>
      <c r="E16" s="59">
        <v>3933</v>
      </c>
      <c r="F16" s="59">
        <v>1455</v>
      </c>
      <c r="G16" s="59">
        <v>336</v>
      </c>
      <c r="H16" s="59">
        <v>13</v>
      </c>
      <c r="I16" s="59">
        <v>31</v>
      </c>
      <c r="J16" s="59">
        <v>18</v>
      </c>
      <c r="K16" s="59">
        <v>27.4</v>
      </c>
      <c r="L16" s="59">
        <v>13.7</v>
      </c>
      <c r="M16" s="59">
        <v>138</v>
      </c>
      <c r="N16" s="59">
        <v>594</v>
      </c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1"/>
    </row>
    <row r="17" spans="1:26">
      <c r="A17" s="21" t="s">
        <v>36</v>
      </c>
      <c r="B17" s="22">
        <v>3947</v>
      </c>
      <c r="C17" s="22">
        <v>1812</v>
      </c>
      <c r="D17" s="22">
        <v>362</v>
      </c>
      <c r="E17" s="22">
        <v>3487</v>
      </c>
      <c r="F17" s="22">
        <v>1797</v>
      </c>
      <c r="G17" s="22">
        <v>328</v>
      </c>
      <c r="H17" s="22">
        <v>-3</v>
      </c>
      <c r="I17" s="22">
        <v>14</v>
      </c>
      <c r="J17" s="22">
        <v>17</v>
      </c>
      <c r="K17" s="22">
        <v>26.2</v>
      </c>
      <c r="L17" s="22">
        <v>8.1</v>
      </c>
      <c r="M17" s="22">
        <v>34</v>
      </c>
      <c r="N17" s="22">
        <v>475</v>
      </c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1"/>
    </row>
    <row r="18" spans="1:26">
      <c r="A18" s="58" t="s">
        <v>48</v>
      </c>
      <c r="B18" s="59">
        <v>3315</v>
      </c>
      <c r="C18" s="59">
        <v>1317</v>
      </c>
      <c r="D18" s="59">
        <v>241</v>
      </c>
      <c r="E18" s="59">
        <v>3644</v>
      </c>
      <c r="F18" s="59">
        <v>1986</v>
      </c>
      <c r="G18" s="59">
        <v>432</v>
      </c>
      <c r="H18" s="59">
        <v>-9</v>
      </c>
      <c r="I18" s="59">
        <v>16</v>
      </c>
      <c r="J18" s="59">
        <v>25</v>
      </c>
      <c r="K18" s="59">
        <v>24</v>
      </c>
      <c r="L18" s="59">
        <v>9</v>
      </c>
      <c r="M18" s="59">
        <v>-191</v>
      </c>
      <c r="N18" s="59">
        <v>-998</v>
      </c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1"/>
    </row>
    <row r="19" spans="1:26">
      <c r="A19" s="21" t="s">
        <v>28</v>
      </c>
      <c r="B19" s="22">
        <v>3953</v>
      </c>
      <c r="C19" s="22">
        <v>2067</v>
      </c>
      <c r="D19" s="22">
        <v>368</v>
      </c>
      <c r="E19" s="22">
        <v>3314</v>
      </c>
      <c r="F19" s="22">
        <v>1791</v>
      </c>
      <c r="G19" s="22">
        <v>340</v>
      </c>
      <c r="H19" s="22">
        <v>4</v>
      </c>
      <c r="I19" s="22">
        <v>23</v>
      </c>
      <c r="J19" s="22">
        <v>19</v>
      </c>
      <c r="K19" s="22">
        <v>24.7</v>
      </c>
      <c r="L19" s="22">
        <v>6.2</v>
      </c>
      <c r="M19" s="22">
        <v>28</v>
      </c>
      <c r="N19" s="22">
        <v>915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1"/>
    </row>
    <row r="20" spans="1:26">
      <c r="A20" s="58" t="s">
        <v>17</v>
      </c>
      <c r="B20" s="59">
        <v>4707</v>
      </c>
      <c r="C20" s="59">
        <v>2152</v>
      </c>
      <c r="D20" s="59">
        <v>518</v>
      </c>
      <c r="E20" s="59">
        <v>3988</v>
      </c>
      <c r="F20" s="59">
        <v>1884</v>
      </c>
      <c r="G20" s="59">
        <v>346</v>
      </c>
      <c r="H20" s="59">
        <v>12</v>
      </c>
      <c r="I20" s="59">
        <v>25</v>
      </c>
      <c r="J20" s="59">
        <v>13</v>
      </c>
      <c r="K20" s="59">
        <v>25</v>
      </c>
      <c r="L20" s="59">
        <v>9</v>
      </c>
      <c r="M20" s="59">
        <v>172</v>
      </c>
      <c r="N20" s="59">
        <v>987</v>
      </c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1"/>
    </row>
    <row r="21" spans="1:26">
      <c r="A21" s="21" t="s">
        <v>42</v>
      </c>
      <c r="B21" s="22">
        <v>3322</v>
      </c>
      <c r="C21" s="22">
        <v>2044</v>
      </c>
      <c r="D21" s="22">
        <v>347</v>
      </c>
      <c r="E21" s="22">
        <v>3920</v>
      </c>
      <c r="F21" s="22">
        <v>2251</v>
      </c>
      <c r="G21" s="22">
        <v>424</v>
      </c>
      <c r="H21" s="22">
        <v>-4</v>
      </c>
      <c r="I21" s="22">
        <v>20</v>
      </c>
      <c r="J21" s="22">
        <v>24</v>
      </c>
      <c r="K21" s="22">
        <v>26.4</v>
      </c>
      <c r="L21" s="22">
        <v>13.3</v>
      </c>
      <c r="M21" s="22">
        <v>-77</v>
      </c>
      <c r="N21" s="22">
        <v>-805</v>
      </c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1"/>
    </row>
    <row r="22" spans="1:26">
      <c r="A22" s="58" t="s">
        <v>44</v>
      </c>
      <c r="B22" s="59">
        <v>3208</v>
      </c>
      <c r="C22" s="59">
        <v>1841</v>
      </c>
      <c r="D22" s="59">
        <v>344</v>
      </c>
      <c r="E22" s="59">
        <v>3021</v>
      </c>
      <c r="F22" s="59">
        <v>2110</v>
      </c>
      <c r="G22" s="59">
        <v>333</v>
      </c>
      <c r="H22" s="59">
        <v>-1</v>
      </c>
      <c r="I22" s="59">
        <v>21</v>
      </c>
      <c r="J22" s="59">
        <v>22</v>
      </c>
      <c r="K22" s="59">
        <v>26</v>
      </c>
      <c r="L22" s="59">
        <v>9.5</v>
      </c>
      <c r="M22" s="59">
        <v>11</v>
      </c>
      <c r="N22" s="59">
        <v>-82</v>
      </c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1"/>
    </row>
    <row r="23" spans="1:26">
      <c r="A23" s="21" t="s">
        <v>19</v>
      </c>
      <c r="B23" s="22">
        <v>4459</v>
      </c>
      <c r="C23" s="22">
        <v>2191</v>
      </c>
      <c r="D23" s="22">
        <v>490</v>
      </c>
      <c r="E23" s="22">
        <v>3512</v>
      </c>
      <c r="F23" s="22">
        <v>1729</v>
      </c>
      <c r="G23" s="22">
        <v>320</v>
      </c>
      <c r="H23" s="22">
        <v>6</v>
      </c>
      <c r="I23" s="22">
        <v>19</v>
      </c>
      <c r="J23" s="22">
        <v>13</v>
      </c>
      <c r="K23" s="22">
        <v>25.5</v>
      </c>
      <c r="L23" s="22">
        <v>17.3</v>
      </c>
      <c r="M23" s="22">
        <v>170</v>
      </c>
      <c r="N23" s="22">
        <v>1409</v>
      </c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1"/>
    </row>
    <row r="24" spans="1:26">
      <c r="A24" s="58" t="s">
        <v>39</v>
      </c>
      <c r="B24" s="59">
        <v>4027</v>
      </c>
      <c r="C24" s="59">
        <v>1603</v>
      </c>
      <c r="D24" s="59">
        <v>306</v>
      </c>
      <c r="E24" s="59">
        <v>3336</v>
      </c>
      <c r="F24" s="59">
        <v>2050</v>
      </c>
      <c r="G24" s="59">
        <v>383</v>
      </c>
      <c r="H24" s="59">
        <v>3</v>
      </c>
      <c r="I24" s="59">
        <v>20</v>
      </c>
      <c r="J24" s="59">
        <v>17</v>
      </c>
      <c r="K24" s="59">
        <v>25.2</v>
      </c>
      <c r="L24" s="59">
        <v>9.1</v>
      </c>
      <c r="M24" s="59">
        <v>-77</v>
      </c>
      <c r="N24" s="59">
        <v>244</v>
      </c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1"/>
    </row>
    <row r="25" spans="1:26">
      <c r="A25" s="21" t="s">
        <v>29</v>
      </c>
      <c r="B25" s="22">
        <v>3703</v>
      </c>
      <c r="C25" s="22">
        <v>2195</v>
      </c>
      <c r="D25" s="22">
        <v>381</v>
      </c>
      <c r="E25" s="22">
        <v>3908</v>
      </c>
      <c r="F25" s="22">
        <v>2470</v>
      </c>
      <c r="G25" s="22">
        <v>439</v>
      </c>
      <c r="H25" s="22">
        <v>0</v>
      </c>
      <c r="I25" s="22">
        <v>15</v>
      </c>
      <c r="J25" s="22">
        <v>15</v>
      </c>
      <c r="K25" s="22">
        <v>24</v>
      </c>
      <c r="L25" s="22">
        <v>9</v>
      </c>
      <c r="M25" s="22">
        <v>-58</v>
      </c>
      <c r="N25" s="22">
        <v>-480</v>
      </c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1"/>
    </row>
    <row r="26" spans="1:26">
      <c r="A26" s="58" t="s">
        <v>45</v>
      </c>
      <c r="B26" s="59">
        <v>2784</v>
      </c>
      <c r="C26" s="59">
        <v>2096</v>
      </c>
      <c r="D26" s="59">
        <v>300</v>
      </c>
      <c r="E26" s="59">
        <v>3849</v>
      </c>
      <c r="F26" s="59">
        <v>2000</v>
      </c>
      <c r="G26" s="59">
        <v>503</v>
      </c>
      <c r="H26" s="59">
        <v>-14</v>
      </c>
      <c r="I26" s="59">
        <v>4</v>
      </c>
      <c r="J26" s="59">
        <v>18</v>
      </c>
      <c r="K26" s="59">
        <v>29.9</v>
      </c>
      <c r="L26" s="59">
        <v>13.4</v>
      </c>
      <c r="M26" s="59">
        <v>-203</v>
      </c>
      <c r="N26" s="59">
        <v>-969</v>
      </c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1"/>
    </row>
    <row r="27" spans="1:26">
      <c r="A27" s="21" t="s">
        <v>40</v>
      </c>
      <c r="B27" s="22">
        <v>3498</v>
      </c>
      <c r="C27" s="22">
        <v>1988</v>
      </c>
      <c r="D27" s="22">
        <v>379</v>
      </c>
      <c r="E27" s="22">
        <v>3476</v>
      </c>
      <c r="F27" s="22">
        <v>2115</v>
      </c>
      <c r="G27" s="22">
        <v>325</v>
      </c>
      <c r="H27" s="22">
        <v>9</v>
      </c>
      <c r="I27" s="22">
        <v>21</v>
      </c>
      <c r="J27" s="22">
        <v>12</v>
      </c>
      <c r="K27" s="22">
        <v>25</v>
      </c>
      <c r="L27" s="22">
        <v>9</v>
      </c>
      <c r="M27" s="22">
        <v>54</v>
      </c>
      <c r="N27" s="22">
        <v>-105</v>
      </c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1"/>
    </row>
    <row r="28" spans="1:26">
      <c r="A28" s="58" t="s">
        <v>41</v>
      </c>
      <c r="B28" s="59">
        <v>3632</v>
      </c>
      <c r="C28" s="59">
        <v>1756</v>
      </c>
      <c r="D28" s="59">
        <v>397</v>
      </c>
      <c r="E28" s="59">
        <v>4437</v>
      </c>
      <c r="F28" s="59">
        <v>1922</v>
      </c>
      <c r="G28" s="59">
        <v>387</v>
      </c>
      <c r="H28" s="59">
        <v>13</v>
      </c>
      <c r="I28" s="59">
        <v>27</v>
      </c>
      <c r="J28" s="59">
        <v>14</v>
      </c>
      <c r="K28" s="59">
        <v>24.2</v>
      </c>
      <c r="L28" s="59">
        <v>8.8000000000000007</v>
      </c>
      <c r="M28" s="59">
        <v>10</v>
      </c>
      <c r="N28" s="59">
        <v>-971</v>
      </c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1"/>
    </row>
    <row r="29" spans="1:26">
      <c r="A29" s="21" t="s">
        <v>23</v>
      </c>
      <c r="B29" s="22">
        <v>4318</v>
      </c>
      <c r="C29" s="22">
        <v>1817</v>
      </c>
      <c r="D29" s="22">
        <v>437</v>
      </c>
      <c r="E29" s="22">
        <v>4110</v>
      </c>
      <c r="F29" s="22">
        <v>1833</v>
      </c>
      <c r="G29" s="22">
        <v>371</v>
      </c>
      <c r="H29" s="22">
        <v>-5</v>
      </c>
      <c r="I29" s="22">
        <v>16</v>
      </c>
      <c r="J29" s="22">
        <v>21</v>
      </c>
      <c r="K29" s="22">
        <v>27.2</v>
      </c>
      <c r="L29" s="22">
        <v>11.6</v>
      </c>
      <c r="M29" s="22">
        <v>66</v>
      </c>
      <c r="N29" s="22">
        <v>192</v>
      </c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1"/>
    </row>
    <row r="30" spans="1:26">
      <c r="A30" s="58" t="s">
        <v>24</v>
      </c>
      <c r="B30" s="59">
        <v>4063</v>
      </c>
      <c r="C30" s="59">
        <v>2096</v>
      </c>
      <c r="D30" s="59">
        <v>483</v>
      </c>
      <c r="E30" s="59">
        <v>3619</v>
      </c>
      <c r="F30" s="59">
        <v>1558</v>
      </c>
      <c r="G30" s="59">
        <v>292</v>
      </c>
      <c r="H30" s="59">
        <v>7</v>
      </c>
      <c r="I30" s="59">
        <v>25</v>
      </c>
      <c r="J30" s="59">
        <v>18</v>
      </c>
      <c r="K30" s="59">
        <v>28</v>
      </c>
      <c r="L30" s="59">
        <v>15.5</v>
      </c>
      <c r="M30" s="59">
        <v>191</v>
      </c>
      <c r="N30" s="59">
        <v>982</v>
      </c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1"/>
    </row>
    <row r="31" spans="1:26">
      <c r="A31" s="21" t="s">
        <v>37</v>
      </c>
      <c r="B31" s="22">
        <v>3755</v>
      </c>
      <c r="C31" s="22">
        <v>1947</v>
      </c>
      <c r="D31" s="22">
        <v>380</v>
      </c>
      <c r="E31" s="22">
        <v>4332</v>
      </c>
      <c r="F31" s="22">
        <v>1684</v>
      </c>
      <c r="G31" s="22">
        <v>411</v>
      </c>
      <c r="H31" s="22">
        <v>7</v>
      </c>
      <c r="I31" s="22">
        <v>23</v>
      </c>
      <c r="J31" s="22">
        <v>16</v>
      </c>
      <c r="K31" s="22">
        <v>24.3</v>
      </c>
      <c r="L31" s="22">
        <v>11.2</v>
      </c>
      <c r="M31" s="22">
        <v>-31</v>
      </c>
      <c r="N31" s="22">
        <v>-314</v>
      </c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</row>
    <row r="32" spans="1:26">
      <c r="A32" s="58" t="s">
        <v>47</v>
      </c>
      <c r="B32" s="59">
        <v>3241</v>
      </c>
      <c r="C32" s="59">
        <v>1589</v>
      </c>
      <c r="D32" s="59">
        <v>284</v>
      </c>
      <c r="E32" s="59">
        <v>4221</v>
      </c>
      <c r="F32" s="59">
        <v>1948</v>
      </c>
      <c r="G32" s="59">
        <v>478</v>
      </c>
      <c r="H32" s="59">
        <v>-6</v>
      </c>
      <c r="I32" s="59">
        <v>14</v>
      </c>
      <c r="J32" s="59">
        <v>20</v>
      </c>
      <c r="K32" s="59">
        <v>25.7</v>
      </c>
      <c r="L32" s="59">
        <v>16.600000000000001</v>
      </c>
      <c r="M32" s="59">
        <v>-194</v>
      </c>
      <c r="N32" s="59">
        <v>-1339</v>
      </c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1"/>
    </row>
    <row r="33" spans="1:26">
      <c r="A33" s="21" t="s">
        <v>38</v>
      </c>
      <c r="B33" s="22">
        <v>3329</v>
      </c>
      <c r="C33" s="22">
        <v>2290</v>
      </c>
      <c r="D33" s="22">
        <v>356</v>
      </c>
      <c r="E33" s="22">
        <v>4371</v>
      </c>
      <c r="F33" s="22">
        <v>2100</v>
      </c>
      <c r="G33" s="22">
        <v>451</v>
      </c>
      <c r="H33" s="22">
        <v>-6</v>
      </c>
      <c r="I33" s="22">
        <v>10</v>
      </c>
      <c r="J33" s="22">
        <v>16</v>
      </c>
      <c r="K33" s="22">
        <v>24</v>
      </c>
      <c r="L33" s="22">
        <v>9</v>
      </c>
      <c r="M33" s="22">
        <v>-95</v>
      </c>
      <c r="N33" s="22">
        <v>-852</v>
      </c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1"/>
    </row>
    <row r="34" spans="1:26">
      <c r="A34" s="62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1"/>
    </row>
    <row r="35" spans="1:26">
      <c r="A35" s="62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1"/>
    </row>
    <row r="36" spans="1:26">
      <c r="A36" s="62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1"/>
    </row>
    <row r="37" spans="1:26">
      <c r="A37" s="62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1"/>
    </row>
    <row r="38" spans="1:26">
      <c r="A38" s="62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1"/>
    </row>
    <row r="39" spans="1:26">
      <c r="A39" s="62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1"/>
    </row>
    <row r="40" spans="1:26">
      <c r="A40" s="62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1"/>
    </row>
    <row r="41" spans="1:26">
      <c r="A41" s="62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1"/>
    </row>
    <row r="42" spans="1:26">
      <c r="A42" s="62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1"/>
    </row>
    <row r="43" spans="1:26">
      <c r="A43" s="62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1"/>
    </row>
    <row r="44" spans="1:26">
      <c r="A44" s="62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1"/>
    </row>
    <row r="45" spans="1:26">
      <c r="A45" s="62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1"/>
    </row>
    <row r="46" spans="1:26">
      <c r="A46" s="62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1"/>
    </row>
    <row r="47" spans="1:26">
      <c r="A47" s="62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1"/>
    </row>
    <row r="48" spans="1:26">
      <c r="A48" s="62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1"/>
    </row>
    <row r="49" spans="1:26">
      <c r="A49" s="62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1"/>
    </row>
    <row r="50" spans="1:26">
      <c r="A50" s="62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1"/>
    </row>
    <row r="51" spans="1:26">
      <c r="A51" s="62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1"/>
    </row>
    <row r="52" spans="1:26">
      <c r="A52" s="62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1"/>
    </row>
    <row r="53" spans="1:26">
      <c r="A53" s="62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1"/>
    </row>
    <row r="54" spans="1:26">
      <c r="A54" s="62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1"/>
    </row>
    <row r="55" spans="1:26">
      <c r="A55" s="62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1"/>
    </row>
    <row r="56" spans="1:26">
      <c r="A56" s="62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1"/>
    </row>
    <row r="57" spans="1:26">
      <c r="A57" s="62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1"/>
    </row>
    <row r="58" spans="1:26">
      <c r="A58" s="62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1"/>
    </row>
    <row r="59" spans="1:26">
      <c r="A59" s="62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1"/>
    </row>
    <row r="60" spans="1:26">
      <c r="A60" s="62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1"/>
    </row>
    <row r="61" spans="1:26">
      <c r="A61" s="62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1"/>
    </row>
    <row r="62" spans="1:26">
      <c r="A62" s="62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1"/>
    </row>
    <row r="63" spans="1:26">
      <c r="A63" s="62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1"/>
    </row>
    <row r="64" spans="1:26">
      <c r="A64" s="62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1"/>
    </row>
    <row r="65" spans="1:26">
      <c r="A65" s="62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1"/>
    </row>
    <row r="66" spans="1:26">
      <c r="A66" s="62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1"/>
    </row>
    <row r="67" spans="1:26">
      <c r="A67" s="62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1"/>
    </row>
    <row r="68" spans="1:26">
      <c r="A68" s="62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1"/>
    </row>
    <row r="69" spans="1:26">
      <c r="A69" s="62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1"/>
    </row>
    <row r="70" spans="1:26">
      <c r="A70" s="62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1"/>
    </row>
    <row r="71" spans="1:26">
      <c r="A71" s="62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1"/>
    </row>
    <row r="72" spans="1:26">
      <c r="A72" s="62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1"/>
    </row>
    <row r="73" spans="1:26">
      <c r="A73" s="62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1"/>
    </row>
    <row r="74" spans="1:26">
      <c r="A74" s="62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1"/>
    </row>
    <row r="75" spans="1:26">
      <c r="A75" s="62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1"/>
    </row>
    <row r="76" spans="1:26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1"/>
    </row>
    <row r="77" spans="1:26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1"/>
    </row>
    <row r="78" spans="1:26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1"/>
    </row>
    <row r="79" spans="1:26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1"/>
    </row>
    <row r="80" spans="1:26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1"/>
    </row>
    <row r="81" spans="1:26">
      <c r="A81" s="6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1"/>
    </row>
    <row r="82" spans="1:26">
      <c r="A82" s="6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1"/>
    </row>
    <row r="83" spans="1:26">
      <c r="A83" s="6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1"/>
    </row>
    <row r="84" spans="1:26">
      <c r="A84" s="62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1"/>
    </row>
    <row r="85" spans="1:26">
      <c r="A85" s="62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1"/>
    </row>
    <row r="86" spans="1:26">
      <c r="A86" s="62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1"/>
    </row>
    <row r="87" spans="1:26">
      <c r="A87" s="62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1"/>
    </row>
    <row r="88" spans="1:26">
      <c r="A88" s="62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1"/>
    </row>
    <row r="89" spans="1:26">
      <c r="A89" s="62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1"/>
    </row>
    <row r="90" spans="1:26">
      <c r="A90" s="62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1"/>
    </row>
    <row r="91" spans="1:26">
      <c r="A91" s="62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1"/>
    </row>
    <row r="92" spans="1:26">
      <c r="A92" s="62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1"/>
    </row>
    <row r="93" spans="1:26">
      <c r="A93" s="62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1"/>
    </row>
    <row r="94" spans="1:26">
      <c r="A94" s="62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1"/>
    </row>
    <row r="95" spans="1:26">
      <c r="A95" s="62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1"/>
    </row>
    <row r="96" spans="1:26">
      <c r="A96" s="62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1"/>
    </row>
    <row r="97" spans="1:26">
      <c r="A97" s="62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1"/>
    </row>
    <row r="98" spans="1:26">
      <c r="A98" s="62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1"/>
    </row>
    <row r="99" spans="1:26">
      <c r="A99" s="62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1"/>
    </row>
    <row r="100" spans="1:26">
      <c r="A100" s="62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1"/>
    </row>
    <row r="101" spans="1:26">
      <c r="A101" s="62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1"/>
    </row>
    <row r="102" spans="1:26">
      <c r="A102" s="62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1"/>
    </row>
    <row r="103" spans="1:26">
      <c r="A103" s="62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1"/>
    </row>
    <row r="104" spans="1:26">
      <c r="A104" s="62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1"/>
    </row>
    <row r="105" spans="1:26">
      <c r="A105" s="62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1"/>
    </row>
    <row r="106" spans="1:26">
      <c r="A106" s="62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1"/>
    </row>
    <row r="107" spans="1:26">
      <c r="A107" s="62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1"/>
    </row>
    <row r="108" spans="1:26">
      <c r="A108" s="62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1"/>
    </row>
    <row r="109" spans="1:26">
      <c r="A109" s="62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1"/>
    </row>
    <row r="110" spans="1:26">
      <c r="A110" s="62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1"/>
    </row>
    <row r="111" spans="1:26">
      <c r="A111" s="62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1"/>
    </row>
    <row r="112" spans="1:26">
      <c r="A112" s="62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1"/>
    </row>
    <row r="113" spans="1:26">
      <c r="A113" s="62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1"/>
    </row>
    <row r="114" spans="1:26">
      <c r="A114" s="62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1"/>
    </row>
    <row r="115" spans="1:26">
      <c r="A115" s="62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1"/>
    </row>
    <row r="116" spans="1:26">
      <c r="A116" s="62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1"/>
    </row>
    <row r="117" spans="1:26">
      <c r="A117" s="62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1"/>
    </row>
    <row r="118" spans="1:26">
      <c r="A118" s="62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1"/>
    </row>
    <row r="119" spans="1:26">
      <c r="A119" s="62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1"/>
    </row>
    <row r="120" spans="1:26">
      <c r="A120" s="62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1"/>
    </row>
    <row r="121" spans="1:26">
      <c r="A121" s="62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1"/>
    </row>
    <row r="122" spans="1:26">
      <c r="A122" s="62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1"/>
    </row>
    <row r="123" spans="1:26">
      <c r="A123" s="62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1"/>
    </row>
    <row r="124" spans="1:26">
      <c r="A124" s="62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1"/>
    </row>
    <row r="125" spans="1:26">
      <c r="A125" s="62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1"/>
    </row>
    <row r="126" spans="1:26">
      <c r="A126" s="62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1"/>
    </row>
    <row r="127" spans="1:26">
      <c r="A127" s="62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1"/>
    </row>
    <row r="128" spans="1:26">
      <c r="A128" s="62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1"/>
    </row>
    <row r="129" spans="1:26">
      <c r="A129" s="62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1"/>
    </row>
    <row r="130" spans="1:26">
      <c r="A130" s="62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1"/>
    </row>
    <row r="131" spans="1:26">
      <c r="A131" s="62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1"/>
    </row>
    <row r="132" spans="1:26">
      <c r="A132" s="62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1"/>
    </row>
    <row r="133" spans="1:26">
      <c r="A133" s="62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1"/>
    </row>
    <row r="134" spans="1:26">
      <c r="A134" s="62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1"/>
    </row>
    <row r="135" spans="1:26">
      <c r="A135" s="62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1"/>
    </row>
    <row r="136" spans="1:26">
      <c r="A136" s="62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1"/>
    </row>
    <row r="137" spans="1:26">
      <c r="A137" s="62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1"/>
    </row>
    <row r="138" spans="1:26">
      <c r="A138" s="62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1"/>
    </row>
    <row r="139" spans="1:26">
      <c r="A139" s="62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1"/>
    </row>
    <row r="140" spans="1:26">
      <c r="A140" s="62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1"/>
    </row>
    <row r="141" spans="1:26">
      <c r="A141" s="62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1"/>
    </row>
    <row r="142" spans="1:26">
      <c r="A142" s="62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1"/>
    </row>
    <row r="143" spans="1:26">
      <c r="A143" s="62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1"/>
    </row>
    <row r="144" spans="1:26">
      <c r="A144" s="62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1"/>
    </row>
    <row r="145" spans="1:26">
      <c r="A145" s="62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1"/>
    </row>
    <row r="146" spans="1:26">
      <c r="A146" s="62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1"/>
    </row>
    <row r="147" spans="1:26">
      <c r="A147" s="62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1"/>
    </row>
    <row r="148" spans="1:26">
      <c r="A148" s="62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1"/>
    </row>
    <row r="149" spans="1:26">
      <c r="A149" s="62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1"/>
    </row>
    <row r="150" spans="1:26">
      <c r="A150" s="62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1"/>
    </row>
    <row r="151" spans="1:26">
      <c r="A151" s="62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1"/>
    </row>
    <row r="152" spans="1:26">
      <c r="A152" s="62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1"/>
    </row>
    <row r="153" spans="1:26">
      <c r="A153" s="62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1"/>
    </row>
    <row r="154" spans="1:26">
      <c r="A154" s="62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1"/>
    </row>
    <row r="155" spans="1:26">
      <c r="A155" s="62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1"/>
    </row>
    <row r="156" spans="1:26">
      <c r="A156" s="62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1"/>
    </row>
    <row r="157" spans="1:26">
      <c r="A157" s="62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1"/>
    </row>
    <row r="158" spans="1:26">
      <c r="A158" s="62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1"/>
    </row>
    <row r="159" spans="1:26">
      <c r="A159" s="62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1"/>
    </row>
    <row r="160" spans="1:26">
      <c r="A160" s="62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1"/>
    </row>
    <row r="161" spans="1:26">
      <c r="A161" s="62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1"/>
    </row>
    <row r="162" spans="1:26">
      <c r="A162" s="62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1"/>
    </row>
    <row r="163" spans="1:26">
      <c r="A163" s="62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1"/>
    </row>
    <row r="164" spans="1:26">
      <c r="A164" s="62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1"/>
    </row>
    <row r="165" spans="1:26">
      <c r="A165" s="62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1"/>
    </row>
    <row r="166" spans="1:26">
      <c r="A166" s="62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1"/>
    </row>
    <row r="167" spans="1:26">
      <c r="A167" s="62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1"/>
    </row>
    <row r="168" spans="1:26">
      <c r="A168" s="62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1"/>
    </row>
    <row r="169" spans="1:26">
      <c r="A169" s="62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1"/>
    </row>
    <row r="170" spans="1:26">
      <c r="A170" s="62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1"/>
    </row>
    <row r="171" spans="1:26">
      <c r="A171" s="62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1"/>
    </row>
    <row r="172" spans="1:26">
      <c r="A172" s="62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1"/>
    </row>
    <row r="173" spans="1:26">
      <c r="A173" s="62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1"/>
    </row>
    <row r="174" spans="1:26">
      <c r="A174" s="62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1"/>
    </row>
    <row r="175" spans="1:26">
      <c r="A175" s="62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1"/>
    </row>
    <row r="176" spans="1:26">
      <c r="A176" s="62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1"/>
    </row>
    <row r="177" spans="1:26">
      <c r="A177" s="62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1"/>
    </row>
    <row r="178" spans="1:26">
      <c r="A178" s="62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1"/>
    </row>
    <row r="179" spans="1:26">
      <c r="A179" s="62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1"/>
    </row>
    <row r="180" spans="1:26">
      <c r="A180" s="62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1"/>
    </row>
    <row r="181" spans="1:26">
      <c r="A181" s="62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1"/>
    </row>
    <row r="182" spans="1:26">
      <c r="A182" s="62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1"/>
    </row>
    <row r="183" spans="1:26">
      <c r="A183" s="62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1"/>
    </row>
    <row r="184" spans="1:26">
      <c r="A184" s="62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1"/>
    </row>
    <row r="185" spans="1:26">
      <c r="A185" s="62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1"/>
    </row>
    <row r="186" spans="1:26">
      <c r="A186" s="62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1"/>
    </row>
    <row r="187" spans="1:26">
      <c r="A187" s="62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1"/>
    </row>
    <row r="188" spans="1:26">
      <c r="A188" s="62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1"/>
    </row>
    <row r="189" spans="1:26">
      <c r="A189" s="62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1"/>
    </row>
    <row r="190" spans="1:26">
      <c r="A190" s="62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1"/>
    </row>
    <row r="191" spans="1:26">
      <c r="A191" s="62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1"/>
    </row>
    <row r="192" spans="1:26">
      <c r="A192" s="62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1"/>
    </row>
    <row r="193" spans="1:26">
      <c r="A193" s="62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1"/>
    </row>
    <row r="194" spans="1:26">
      <c r="A194" s="62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1"/>
    </row>
    <row r="195" spans="1:26">
      <c r="A195" s="62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1"/>
    </row>
    <row r="196" spans="1:26">
      <c r="A196" s="62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1"/>
    </row>
    <row r="197" spans="1:26">
      <c r="A197" s="62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1"/>
    </row>
    <row r="198" spans="1:26">
      <c r="A198" s="62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1"/>
    </row>
    <row r="199" spans="1:26">
      <c r="A199" s="62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1"/>
    </row>
    <row r="200" spans="1:26">
      <c r="A200" s="62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1"/>
    </row>
    <row r="201" spans="1:26">
      <c r="A201" s="62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1"/>
    </row>
    <row r="202" spans="1:26">
      <c r="A202" s="62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1"/>
    </row>
    <row r="203" spans="1:26">
      <c r="A203" s="62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1"/>
    </row>
    <row r="204" spans="1:26">
      <c r="A204" s="62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1"/>
    </row>
    <row r="205" spans="1:26">
      <c r="A205" s="62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1"/>
    </row>
    <row r="206" spans="1:26">
      <c r="A206" s="62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1"/>
    </row>
    <row r="207" spans="1:26">
      <c r="A207" s="62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1"/>
    </row>
    <row r="208" spans="1:26">
      <c r="A208" s="62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1"/>
    </row>
    <row r="209" spans="1:26">
      <c r="A209" s="62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1"/>
    </row>
    <row r="210" spans="1:26">
      <c r="A210" s="62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1"/>
    </row>
    <row r="211" spans="1:26">
      <c r="A211" s="62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1"/>
    </row>
    <row r="212" spans="1:26">
      <c r="A212" s="62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1"/>
    </row>
    <row r="213" spans="1:26">
      <c r="A213" s="62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1"/>
    </row>
    <row r="214" spans="1:26">
      <c r="A214" s="62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1"/>
    </row>
    <row r="215" spans="1:26">
      <c r="A215" s="62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1"/>
    </row>
    <row r="216" spans="1:26">
      <c r="A216" s="62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1"/>
    </row>
    <row r="217" spans="1:26">
      <c r="A217" s="62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1"/>
    </row>
    <row r="218" spans="1:26">
      <c r="A218" s="62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1"/>
    </row>
    <row r="219" spans="1:26">
      <c r="A219" s="62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1"/>
    </row>
    <row r="220" spans="1:26">
      <c r="A220" s="62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1"/>
    </row>
    <row r="221" spans="1:26">
      <c r="A221" s="62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1"/>
    </row>
    <row r="222" spans="1:26">
      <c r="A222" s="62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1"/>
    </row>
    <row r="223" spans="1:26">
      <c r="A223" s="62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1"/>
    </row>
    <row r="224" spans="1:26">
      <c r="A224" s="62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1"/>
    </row>
    <row r="225" spans="1:26">
      <c r="A225" s="62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1"/>
    </row>
    <row r="226" spans="1:26">
      <c r="A226" s="62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1"/>
    </row>
    <row r="227" spans="1:26">
      <c r="A227" s="62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1"/>
    </row>
    <row r="228" spans="1:26">
      <c r="A228" s="62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1"/>
    </row>
    <row r="229" spans="1:26">
      <c r="A229" s="62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1"/>
    </row>
    <row r="230" spans="1:26">
      <c r="A230" s="62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1"/>
    </row>
    <row r="231" spans="1:26">
      <c r="A231" s="62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1"/>
    </row>
    <row r="232" spans="1:26">
      <c r="A232" s="62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1"/>
    </row>
    <row r="233" spans="1:26">
      <c r="A233" s="62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1"/>
    </row>
    <row r="234" spans="1:26">
      <c r="A234" s="62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1"/>
    </row>
    <row r="235" spans="1:26">
      <c r="A235" s="62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1"/>
    </row>
    <row r="236" spans="1:26">
      <c r="A236" s="62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1"/>
    </row>
    <row r="237" spans="1:26">
      <c r="A237" s="62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1"/>
    </row>
    <row r="238" spans="1:26">
      <c r="A238" s="62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1"/>
    </row>
    <row r="239" spans="1:26">
      <c r="A239" s="62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1"/>
    </row>
    <row r="240" spans="1:26">
      <c r="A240" s="62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1"/>
    </row>
    <row r="241" spans="1:26">
      <c r="A241" s="62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1"/>
    </row>
    <row r="242" spans="1:26">
      <c r="A242" s="62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1"/>
    </row>
    <row r="243" spans="1:26">
      <c r="A243" s="62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1"/>
    </row>
    <row r="244" spans="1:26">
      <c r="A244" s="62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1"/>
    </row>
    <row r="245" spans="1:26">
      <c r="A245" s="62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1"/>
    </row>
    <row r="246" spans="1:26">
      <c r="A246" s="62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1"/>
    </row>
    <row r="247" spans="1:26">
      <c r="A247" s="62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1"/>
    </row>
    <row r="248" spans="1:26">
      <c r="A248" s="62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1"/>
    </row>
    <row r="249" spans="1:26">
      <c r="A249" s="62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1"/>
    </row>
    <row r="250" spans="1:26">
      <c r="A250" s="62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1"/>
    </row>
    <row r="251" spans="1:26">
      <c r="A251" s="62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1"/>
    </row>
    <row r="252" spans="1:26">
      <c r="A252" s="62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1"/>
    </row>
    <row r="253" spans="1:26">
      <c r="A253" s="62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1"/>
    </row>
    <row r="254" spans="1:26">
      <c r="A254" s="62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1"/>
    </row>
    <row r="255" spans="1:26">
      <c r="A255" s="62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1"/>
    </row>
    <row r="256" spans="1:26">
      <c r="A256" s="62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1"/>
    </row>
    <row r="257" spans="1:26">
      <c r="A257" s="62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1"/>
    </row>
    <row r="258" spans="1:26">
      <c r="A258" s="62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1"/>
    </row>
    <row r="259" spans="1:26">
      <c r="A259" s="62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1"/>
    </row>
    <row r="260" spans="1:26">
      <c r="A260" s="62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1"/>
    </row>
    <row r="261" spans="1:26">
      <c r="A261" s="62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1"/>
    </row>
    <row r="262" spans="1:26">
      <c r="A262" s="62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1"/>
    </row>
    <row r="263" spans="1:26">
      <c r="A263" s="62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1"/>
    </row>
    <row r="264" spans="1:26">
      <c r="A264" s="62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1"/>
    </row>
    <row r="265" spans="1:26">
      <c r="A265" s="62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1"/>
    </row>
    <row r="266" spans="1:26">
      <c r="A266" s="62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1"/>
    </row>
    <row r="267" spans="1:26">
      <c r="A267" s="62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1"/>
    </row>
    <row r="268" spans="1:26">
      <c r="A268" s="62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1"/>
    </row>
    <row r="269" spans="1:26">
      <c r="A269" s="62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1"/>
    </row>
    <row r="270" spans="1:26">
      <c r="A270" s="62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1"/>
    </row>
    <row r="271" spans="1:26">
      <c r="A271" s="62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1"/>
    </row>
    <row r="272" spans="1:26">
      <c r="A272" s="62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1"/>
    </row>
    <row r="273" spans="1:26">
      <c r="A273" s="62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1"/>
    </row>
    <row r="274" spans="1:26">
      <c r="A274" s="62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1"/>
    </row>
    <row r="275" spans="1:26">
      <c r="A275" s="62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1"/>
    </row>
    <row r="276" spans="1:26">
      <c r="A276" s="62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1"/>
    </row>
    <row r="277" spans="1:26">
      <c r="A277" s="62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1"/>
    </row>
    <row r="278" spans="1:26">
      <c r="A278" s="62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1"/>
    </row>
    <row r="279" spans="1:26">
      <c r="A279" s="62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1"/>
    </row>
    <row r="280" spans="1:26">
      <c r="A280" s="62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1"/>
    </row>
    <row r="281" spans="1:26">
      <c r="A281" s="62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1"/>
    </row>
    <row r="282" spans="1:26">
      <c r="A282" s="62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1"/>
    </row>
    <row r="283" spans="1:26">
      <c r="A283" s="62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1"/>
    </row>
    <row r="284" spans="1:26">
      <c r="A284" s="62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1"/>
    </row>
    <row r="285" spans="1:26">
      <c r="A285" s="62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1"/>
    </row>
    <row r="286" spans="1:26">
      <c r="A286" s="62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1"/>
    </row>
    <row r="287" spans="1:26">
      <c r="A287" s="62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1"/>
    </row>
    <row r="288" spans="1:26">
      <c r="A288" s="62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1"/>
    </row>
    <row r="289" spans="1:26">
      <c r="A289" s="62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1"/>
    </row>
    <row r="290" spans="1:26">
      <c r="A290" s="62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1"/>
    </row>
    <row r="291" spans="1:26">
      <c r="A291" s="62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1"/>
    </row>
    <row r="292" spans="1:26">
      <c r="A292" s="62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1"/>
    </row>
    <row r="293" spans="1:26">
      <c r="A293" s="62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1"/>
    </row>
    <row r="294" spans="1:26">
      <c r="A294" s="62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1"/>
    </row>
    <row r="295" spans="1:26">
      <c r="A295" s="62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1"/>
    </row>
    <row r="296" spans="1:26">
      <c r="A296" s="62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1"/>
    </row>
    <row r="297" spans="1:26">
      <c r="A297" s="62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1"/>
    </row>
    <row r="298" spans="1:26">
      <c r="A298" s="62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1"/>
    </row>
    <row r="299" spans="1:26">
      <c r="A299" s="62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1"/>
    </row>
    <row r="300" spans="1:26">
      <c r="A300" s="62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1"/>
    </row>
    <row r="301" spans="1:26">
      <c r="A301" s="62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1"/>
    </row>
    <row r="302" spans="1:26">
      <c r="A302" s="62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1"/>
    </row>
    <row r="303" spans="1:26">
      <c r="A303" s="62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1"/>
    </row>
    <row r="304" spans="1:26">
      <c r="A304" s="62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1"/>
    </row>
    <row r="305" spans="1:26">
      <c r="A305" s="62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1"/>
    </row>
    <row r="306" spans="1:26">
      <c r="A306" s="62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1"/>
    </row>
    <row r="307" spans="1:26">
      <c r="A307" s="62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1"/>
    </row>
    <row r="308" spans="1:26">
      <c r="A308" s="62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1"/>
    </row>
    <row r="309" spans="1:26">
      <c r="A309" s="62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1"/>
    </row>
    <row r="310" spans="1:26">
      <c r="A310" s="62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1"/>
    </row>
    <row r="311" spans="1:26">
      <c r="A311" s="62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1"/>
    </row>
    <row r="312" spans="1:26">
      <c r="A312" s="62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1"/>
    </row>
    <row r="313" spans="1:26">
      <c r="A313" s="62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1"/>
    </row>
    <row r="314" spans="1:26">
      <c r="A314" s="62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1"/>
    </row>
    <row r="315" spans="1:26">
      <c r="A315" s="62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1"/>
    </row>
    <row r="316" spans="1:26">
      <c r="A316" s="62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1"/>
    </row>
    <row r="317" spans="1:26">
      <c r="A317" s="62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1"/>
    </row>
    <row r="318" spans="1:26">
      <c r="A318" s="62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1"/>
    </row>
    <row r="319" spans="1:26">
      <c r="A319" s="62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1"/>
    </row>
    <row r="320" spans="1:26">
      <c r="A320" s="62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1"/>
    </row>
    <row r="321" spans="1:26">
      <c r="A321" s="62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1"/>
    </row>
    <row r="322" spans="1:26">
      <c r="A322" s="62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1"/>
    </row>
    <row r="323" spans="1:26">
      <c r="A323" s="62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1"/>
    </row>
    <row r="324" spans="1:26">
      <c r="A324" s="62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1"/>
    </row>
    <row r="325" spans="1:26">
      <c r="A325" s="62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1"/>
    </row>
    <row r="326" spans="1:26">
      <c r="A326" s="62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1"/>
    </row>
    <row r="327" spans="1:26">
      <c r="A327" s="62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1"/>
    </row>
    <row r="328" spans="1:26">
      <c r="A328" s="62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1"/>
    </row>
    <row r="329" spans="1:26">
      <c r="A329" s="62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1"/>
    </row>
    <row r="330" spans="1:26">
      <c r="A330" s="62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1"/>
    </row>
    <row r="331" spans="1:26">
      <c r="A331" s="62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1"/>
    </row>
    <row r="332" spans="1:26">
      <c r="A332" s="62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1"/>
    </row>
    <row r="333" spans="1:26">
      <c r="A333" s="62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1"/>
    </row>
    <row r="334" spans="1:26">
      <c r="A334" s="62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1"/>
    </row>
    <row r="335" spans="1:26">
      <c r="A335" s="62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1"/>
    </row>
    <row r="336" spans="1:26">
      <c r="A336" s="62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1"/>
    </row>
    <row r="337" spans="1:26">
      <c r="A337" s="62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1"/>
    </row>
    <row r="338" spans="1:26">
      <c r="A338" s="62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1"/>
    </row>
    <row r="339" spans="1:26">
      <c r="A339" s="62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1"/>
    </row>
    <row r="340" spans="1:26">
      <c r="A340" s="62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1"/>
    </row>
    <row r="341" spans="1:26">
      <c r="A341" s="62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1"/>
    </row>
    <row r="342" spans="1:26">
      <c r="A342" s="62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1"/>
    </row>
    <row r="343" spans="1:26">
      <c r="A343" s="62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1"/>
    </row>
    <row r="344" spans="1:26">
      <c r="A344" s="62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1"/>
    </row>
    <row r="345" spans="1:26">
      <c r="A345" s="62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1"/>
    </row>
    <row r="346" spans="1:26">
      <c r="A346" s="62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1"/>
    </row>
    <row r="347" spans="1:26">
      <c r="A347" s="62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1"/>
    </row>
    <row r="348" spans="1:26">
      <c r="A348" s="62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1"/>
    </row>
    <row r="349" spans="1:26">
      <c r="A349" s="62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1"/>
    </row>
    <row r="350" spans="1:26">
      <c r="A350" s="62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1"/>
    </row>
    <row r="351" spans="1:26">
      <c r="A351" s="62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1"/>
    </row>
    <row r="352" spans="1:26">
      <c r="A352" s="62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1"/>
    </row>
    <row r="353" spans="1:26">
      <c r="A353" s="62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1"/>
    </row>
    <row r="354" spans="1:26">
      <c r="A354" s="62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1"/>
    </row>
    <row r="355" spans="1:26">
      <c r="A355" s="62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1"/>
    </row>
    <row r="356" spans="1:26">
      <c r="A356" s="62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1"/>
    </row>
    <row r="357" spans="1:26">
      <c r="A357" s="62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1"/>
    </row>
    <row r="358" spans="1:26">
      <c r="A358" s="62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1"/>
    </row>
    <row r="359" spans="1:26">
      <c r="A359" s="62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1"/>
    </row>
    <row r="360" spans="1:26">
      <c r="A360" s="62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1"/>
    </row>
    <row r="361" spans="1:26">
      <c r="A361" s="62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1"/>
    </row>
    <row r="362" spans="1:26">
      <c r="A362" s="62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1"/>
    </row>
    <row r="363" spans="1:26">
      <c r="A363" s="62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1"/>
    </row>
    <row r="364" spans="1:26">
      <c r="A364" s="62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1"/>
    </row>
    <row r="365" spans="1:26">
      <c r="A365" s="62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1"/>
    </row>
    <row r="366" spans="1:26">
      <c r="A366" s="62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1"/>
    </row>
    <row r="367" spans="1:26">
      <c r="A367" s="62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1"/>
    </row>
    <row r="368" spans="1:26">
      <c r="A368" s="62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1"/>
    </row>
    <row r="369" spans="1:26">
      <c r="A369" s="62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1"/>
    </row>
    <row r="370" spans="1:26">
      <c r="A370" s="62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1"/>
    </row>
    <row r="371" spans="1:26">
      <c r="A371" s="62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1"/>
    </row>
    <row r="372" spans="1:26">
      <c r="A372" s="62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1"/>
    </row>
    <row r="373" spans="1:26">
      <c r="A373" s="62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1"/>
    </row>
    <row r="374" spans="1:26">
      <c r="A374" s="62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1"/>
    </row>
    <row r="375" spans="1:26">
      <c r="A375" s="62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1"/>
    </row>
    <row r="376" spans="1:26">
      <c r="A376" s="62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1"/>
    </row>
    <row r="377" spans="1:26">
      <c r="A377" s="62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1"/>
    </row>
    <row r="378" spans="1:26">
      <c r="A378" s="62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1"/>
    </row>
    <row r="379" spans="1:26">
      <c r="A379" s="62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1"/>
    </row>
    <row r="380" spans="1:26">
      <c r="A380" s="62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1"/>
    </row>
    <row r="381" spans="1:26">
      <c r="A381" s="62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1"/>
    </row>
    <row r="382" spans="1:26">
      <c r="A382" s="62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1"/>
    </row>
    <row r="383" spans="1:26">
      <c r="A383" s="62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1"/>
    </row>
    <row r="384" spans="1:26">
      <c r="A384" s="62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1"/>
    </row>
    <row r="385" spans="1:26">
      <c r="A385" s="62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1"/>
    </row>
    <row r="386" spans="1:26">
      <c r="A386" s="62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1"/>
    </row>
    <row r="387" spans="1:26">
      <c r="A387" s="62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1"/>
    </row>
    <row r="388" spans="1:26">
      <c r="A388" s="62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1"/>
    </row>
    <row r="389" spans="1:26">
      <c r="A389" s="62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1"/>
    </row>
    <row r="390" spans="1:26">
      <c r="A390" s="62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1"/>
    </row>
    <row r="391" spans="1:26">
      <c r="A391" s="62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1"/>
    </row>
    <row r="392" spans="1:26">
      <c r="A392" s="62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1"/>
    </row>
    <row r="393" spans="1:26">
      <c r="A393" s="62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1"/>
    </row>
    <row r="394" spans="1:26">
      <c r="A394" s="62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1"/>
    </row>
    <row r="395" spans="1:26">
      <c r="A395" s="62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1"/>
    </row>
    <row r="396" spans="1:26">
      <c r="A396" s="62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1"/>
    </row>
    <row r="397" spans="1:26">
      <c r="A397" s="62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1"/>
    </row>
    <row r="398" spans="1:26">
      <c r="A398" s="62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1"/>
    </row>
    <row r="399" spans="1:26">
      <c r="A399" s="62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1"/>
    </row>
    <row r="400" spans="1:26">
      <c r="A400" s="62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1"/>
    </row>
    <row r="401" spans="1:26">
      <c r="A401" s="62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1"/>
    </row>
    <row r="402" spans="1:26">
      <c r="A402" s="62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1"/>
    </row>
    <row r="403" spans="1:26">
      <c r="A403" s="62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1"/>
    </row>
    <row r="404" spans="1:26">
      <c r="A404" s="62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1"/>
    </row>
    <row r="405" spans="1:26">
      <c r="A405" s="62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1"/>
    </row>
    <row r="406" spans="1:26">
      <c r="A406" s="62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1"/>
    </row>
    <row r="407" spans="1:26">
      <c r="A407" s="62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1"/>
    </row>
    <row r="408" spans="1:26">
      <c r="A408" s="62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1"/>
    </row>
    <row r="409" spans="1:26">
      <c r="A409" s="62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1"/>
    </row>
    <row r="410" spans="1:26">
      <c r="A410" s="62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1"/>
    </row>
    <row r="411" spans="1:26">
      <c r="A411" s="62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1"/>
    </row>
    <row r="412" spans="1:26">
      <c r="A412" s="62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1"/>
    </row>
    <row r="413" spans="1:26">
      <c r="A413" s="62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1"/>
    </row>
    <row r="414" spans="1:26">
      <c r="A414" s="62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1"/>
    </row>
    <row r="415" spans="1:26">
      <c r="A415" s="62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1"/>
    </row>
    <row r="416" spans="1:26">
      <c r="A416" s="62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1"/>
    </row>
    <row r="417" spans="1:26">
      <c r="A417" s="62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1"/>
    </row>
    <row r="418" spans="1:26">
      <c r="A418" s="62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1"/>
    </row>
    <row r="419" spans="1:26">
      <c r="A419" s="62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1"/>
    </row>
    <row r="420" spans="1:26">
      <c r="A420" s="62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1"/>
    </row>
    <row r="421" spans="1:26">
      <c r="A421" s="62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1"/>
    </row>
    <row r="422" spans="1:26">
      <c r="A422" s="62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1"/>
    </row>
    <row r="423" spans="1:26">
      <c r="A423" s="62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1"/>
    </row>
    <row r="424" spans="1:26">
      <c r="A424" s="62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1"/>
    </row>
    <row r="425" spans="1:26">
      <c r="A425" s="62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1"/>
    </row>
    <row r="426" spans="1:26">
      <c r="A426" s="62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1"/>
    </row>
    <row r="427" spans="1:26">
      <c r="A427" s="62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1"/>
    </row>
    <row r="428" spans="1:26">
      <c r="A428" s="62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1"/>
    </row>
    <row r="429" spans="1:26">
      <c r="A429" s="62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1"/>
    </row>
    <row r="430" spans="1:26">
      <c r="A430" s="62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1"/>
    </row>
    <row r="431" spans="1:26">
      <c r="A431" s="62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1"/>
    </row>
    <row r="432" spans="1:26">
      <c r="A432" s="62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1"/>
    </row>
    <row r="433" spans="1:26">
      <c r="A433" s="62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1"/>
    </row>
    <row r="434" spans="1:26">
      <c r="A434" s="62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1"/>
    </row>
    <row r="435" spans="1:26">
      <c r="A435" s="62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1"/>
    </row>
    <row r="436" spans="1:26">
      <c r="A436" s="62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1"/>
    </row>
    <row r="437" spans="1:26">
      <c r="A437" s="62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1"/>
    </row>
    <row r="438" spans="1:26">
      <c r="A438" s="62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1"/>
    </row>
    <row r="439" spans="1:26">
      <c r="A439" s="62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1"/>
    </row>
    <row r="440" spans="1:26">
      <c r="A440" s="62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1"/>
    </row>
    <row r="441" spans="1:26">
      <c r="A441" s="62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1"/>
    </row>
    <row r="442" spans="1:26">
      <c r="A442" s="62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1"/>
    </row>
    <row r="443" spans="1:26">
      <c r="A443" s="62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1"/>
    </row>
    <row r="444" spans="1:26">
      <c r="A444" s="62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1"/>
    </row>
    <row r="445" spans="1:26">
      <c r="A445" s="62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1"/>
    </row>
    <row r="446" spans="1:26">
      <c r="A446" s="62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1"/>
    </row>
    <row r="447" spans="1:26">
      <c r="A447" s="62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1"/>
    </row>
    <row r="448" spans="1:26">
      <c r="A448" s="62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1"/>
    </row>
    <row r="449" spans="1:26">
      <c r="A449" s="62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1"/>
    </row>
    <row r="450" spans="1:26">
      <c r="A450" s="62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1"/>
    </row>
    <row r="451" spans="1:26">
      <c r="A451" s="62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1"/>
    </row>
    <row r="452" spans="1:26">
      <c r="A452" s="62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1"/>
    </row>
    <row r="453" spans="1:26">
      <c r="A453" s="62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1"/>
    </row>
    <row r="454" spans="1:26">
      <c r="A454" s="62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1"/>
    </row>
    <row r="455" spans="1:26">
      <c r="A455" s="62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1"/>
    </row>
    <row r="456" spans="1:26">
      <c r="A456" s="62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1"/>
    </row>
    <row r="457" spans="1:26">
      <c r="A457" s="62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1"/>
    </row>
    <row r="458" spans="1:26">
      <c r="A458" s="62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1"/>
    </row>
    <row r="459" spans="1:26">
      <c r="A459" s="62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1"/>
    </row>
    <row r="460" spans="1:26">
      <c r="A460" s="62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1"/>
    </row>
    <row r="461" spans="1:26">
      <c r="A461" s="62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1"/>
    </row>
    <row r="462" spans="1:26">
      <c r="A462" s="62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1"/>
    </row>
    <row r="463" spans="1:26">
      <c r="A463" s="62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1"/>
    </row>
    <row r="464" spans="1:26">
      <c r="A464" s="62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1"/>
    </row>
    <row r="465" spans="1:26">
      <c r="A465" s="62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1"/>
    </row>
    <row r="466" spans="1:26">
      <c r="A466" s="62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1"/>
    </row>
    <row r="467" spans="1:26">
      <c r="A467" s="62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1"/>
    </row>
    <row r="468" spans="1:26">
      <c r="A468" s="62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1"/>
    </row>
    <row r="469" spans="1:26">
      <c r="A469" s="62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1"/>
    </row>
    <row r="470" spans="1:26">
      <c r="A470" s="62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1"/>
    </row>
    <row r="471" spans="1:26">
      <c r="A471" s="62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1"/>
    </row>
    <row r="472" spans="1:26">
      <c r="A472" s="62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1"/>
    </row>
    <row r="473" spans="1:26">
      <c r="A473" s="62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1"/>
    </row>
    <row r="474" spans="1:26">
      <c r="A474" s="62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1"/>
    </row>
    <row r="475" spans="1:26">
      <c r="A475" s="62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1"/>
    </row>
    <row r="476" spans="1:26">
      <c r="A476" s="62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1"/>
    </row>
    <row r="477" spans="1:26">
      <c r="A477" s="62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1"/>
    </row>
    <row r="478" spans="1:26">
      <c r="A478" s="62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1"/>
    </row>
    <row r="479" spans="1:26">
      <c r="A479" s="62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1"/>
    </row>
    <row r="480" spans="1:26">
      <c r="A480" s="62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1"/>
    </row>
    <row r="481" spans="1:26">
      <c r="A481" s="62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1"/>
    </row>
    <row r="482" spans="1:26">
      <c r="A482" s="62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1"/>
    </row>
    <row r="483" spans="1:26">
      <c r="A483" s="62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1"/>
    </row>
    <row r="484" spans="1:26">
      <c r="A484" s="62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1"/>
    </row>
    <row r="485" spans="1:26">
      <c r="A485" s="62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1"/>
    </row>
    <row r="486" spans="1:26">
      <c r="A486" s="62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1"/>
    </row>
    <row r="487" spans="1:26">
      <c r="A487" s="62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1"/>
    </row>
    <row r="488" spans="1:26">
      <c r="A488" s="62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1"/>
    </row>
    <row r="489" spans="1:26">
      <c r="A489" s="62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1"/>
    </row>
    <row r="490" spans="1:26">
      <c r="A490" s="62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1"/>
    </row>
    <row r="491" spans="1:26">
      <c r="A491" s="62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1"/>
    </row>
    <row r="492" spans="1:26">
      <c r="A492" s="62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1"/>
    </row>
    <row r="493" spans="1:26">
      <c r="A493" s="62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1"/>
    </row>
    <row r="494" spans="1:26">
      <c r="A494" s="62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1"/>
    </row>
    <row r="495" spans="1:26">
      <c r="A495" s="62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1"/>
    </row>
    <row r="496" spans="1:26">
      <c r="A496" s="62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1"/>
    </row>
    <row r="497" spans="1:26">
      <c r="A497" s="62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1"/>
    </row>
    <row r="498" spans="1:26">
      <c r="A498" s="62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1"/>
    </row>
    <row r="499" spans="1:26">
      <c r="A499" s="62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1"/>
    </row>
    <row r="500" spans="1:26">
      <c r="A500" s="62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1"/>
    </row>
    <row r="501" spans="1:26">
      <c r="A501" s="62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1"/>
    </row>
    <row r="502" spans="1:26">
      <c r="A502" s="62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1"/>
    </row>
    <row r="503" spans="1:26">
      <c r="A503" s="62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1"/>
    </row>
    <row r="504" spans="1:26">
      <c r="A504" s="62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1"/>
    </row>
    <row r="505" spans="1:26">
      <c r="A505" s="62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1"/>
    </row>
    <row r="506" spans="1:26">
      <c r="A506" s="62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1"/>
    </row>
    <row r="507" spans="1:26">
      <c r="A507" s="62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1"/>
    </row>
    <row r="508" spans="1:26">
      <c r="A508" s="62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1"/>
    </row>
    <row r="509" spans="1:26">
      <c r="A509" s="62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1"/>
    </row>
    <row r="510" spans="1:26">
      <c r="A510" s="62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1"/>
    </row>
    <row r="511" spans="1:26">
      <c r="A511" s="62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1"/>
    </row>
    <row r="512" spans="1:26">
      <c r="A512" s="62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1"/>
    </row>
    <row r="513" spans="1:26">
      <c r="A513" s="62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1"/>
    </row>
    <row r="514" spans="1:26">
      <c r="A514" s="62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1"/>
    </row>
    <row r="515" spans="1:26">
      <c r="A515" s="62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1"/>
    </row>
    <row r="516" spans="1:26">
      <c r="A516" s="62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1"/>
    </row>
    <row r="517" spans="1:26">
      <c r="A517" s="62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1"/>
    </row>
    <row r="518" spans="1:26">
      <c r="A518" s="62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1"/>
    </row>
    <row r="519" spans="1:26">
      <c r="A519" s="62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1"/>
    </row>
    <row r="520" spans="1:26">
      <c r="A520" s="62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1"/>
    </row>
    <row r="521" spans="1:26">
      <c r="A521" s="62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1"/>
    </row>
    <row r="522" spans="1:26">
      <c r="A522" s="62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1"/>
    </row>
    <row r="523" spans="1:26">
      <c r="A523" s="62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1"/>
    </row>
    <row r="524" spans="1:26">
      <c r="A524" s="62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1"/>
    </row>
    <row r="525" spans="1:26">
      <c r="A525" s="62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1"/>
    </row>
    <row r="526" spans="1:26">
      <c r="A526" s="62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1"/>
    </row>
    <row r="527" spans="1:26">
      <c r="A527" s="62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1"/>
    </row>
    <row r="528" spans="1:26">
      <c r="A528" s="62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1"/>
    </row>
    <row r="529" spans="1:26">
      <c r="A529" s="62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1"/>
    </row>
    <row r="530" spans="1:26">
      <c r="A530" s="62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1"/>
    </row>
    <row r="531" spans="1:26">
      <c r="A531" s="62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1"/>
    </row>
    <row r="532" spans="1:26">
      <c r="A532" s="62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1"/>
    </row>
    <row r="533" spans="1:26">
      <c r="A533" s="62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1"/>
    </row>
    <row r="534" spans="1:26">
      <c r="A534" s="62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1"/>
    </row>
    <row r="535" spans="1:26">
      <c r="A535" s="62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1"/>
    </row>
    <row r="536" spans="1:26">
      <c r="A536" s="62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1"/>
    </row>
    <row r="537" spans="1:26">
      <c r="A537" s="62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1"/>
    </row>
    <row r="538" spans="1:26">
      <c r="A538" s="62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1"/>
    </row>
    <row r="539" spans="1:26">
      <c r="A539" s="62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1"/>
    </row>
    <row r="540" spans="1:26">
      <c r="A540" s="62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1"/>
    </row>
    <row r="541" spans="1:26">
      <c r="A541" s="62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1"/>
    </row>
    <row r="542" spans="1:26">
      <c r="A542" s="62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1"/>
    </row>
    <row r="543" spans="1:26">
      <c r="A543" s="62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1"/>
    </row>
    <row r="544" spans="1:26">
      <c r="A544" s="62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1"/>
    </row>
    <row r="545" spans="1:26">
      <c r="A545" s="62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1"/>
    </row>
    <row r="546" spans="1:26">
      <c r="A546" s="62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1"/>
    </row>
    <row r="547" spans="1:26">
      <c r="A547" s="62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1"/>
    </row>
    <row r="548" spans="1:26">
      <c r="A548" s="62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1"/>
    </row>
    <row r="549" spans="1:26">
      <c r="A549" s="62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1"/>
    </row>
    <row r="550" spans="1:26">
      <c r="A550" s="62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1"/>
    </row>
    <row r="551" spans="1:26">
      <c r="A551" s="62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1"/>
    </row>
    <row r="552" spans="1:26">
      <c r="A552" s="62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1"/>
    </row>
    <row r="553" spans="1:26">
      <c r="A553" s="62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1"/>
    </row>
    <row r="554" spans="1:26">
      <c r="A554" s="62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1"/>
    </row>
    <row r="555" spans="1:26">
      <c r="A555" s="62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1"/>
    </row>
    <row r="556" spans="1:26">
      <c r="A556" s="62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1"/>
    </row>
    <row r="557" spans="1:26">
      <c r="A557" s="62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1"/>
    </row>
    <row r="558" spans="1:26">
      <c r="A558" s="62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1"/>
    </row>
    <row r="559" spans="1:26">
      <c r="A559" s="62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1"/>
    </row>
    <row r="560" spans="1:26">
      <c r="A560" s="62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1"/>
    </row>
    <row r="561" spans="1:26">
      <c r="A561" s="62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1"/>
    </row>
    <row r="562" spans="1:26">
      <c r="A562" s="62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1"/>
    </row>
    <row r="563" spans="1:26">
      <c r="A563" s="62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1"/>
    </row>
    <row r="564" spans="1:26">
      <c r="A564" s="62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1"/>
    </row>
    <row r="565" spans="1:26">
      <c r="A565" s="62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1"/>
    </row>
    <row r="566" spans="1:26">
      <c r="A566" s="62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1"/>
    </row>
    <row r="567" spans="1:26">
      <c r="A567" s="62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1"/>
    </row>
    <row r="568" spans="1:26">
      <c r="A568" s="62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1"/>
    </row>
    <row r="569" spans="1:26">
      <c r="A569" s="62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1"/>
    </row>
    <row r="570" spans="1:26">
      <c r="A570" s="62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1"/>
    </row>
    <row r="571" spans="1:26">
      <c r="A571" s="62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1"/>
    </row>
    <row r="572" spans="1:26">
      <c r="A572" s="62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1"/>
    </row>
    <row r="573" spans="1:26">
      <c r="A573" s="62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1"/>
    </row>
    <row r="574" spans="1:26">
      <c r="A574" s="62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1"/>
    </row>
    <row r="575" spans="1:26">
      <c r="A575" s="62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1"/>
    </row>
    <row r="576" spans="1:26">
      <c r="A576" s="62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1"/>
    </row>
    <row r="577" spans="1:26">
      <c r="A577" s="62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1"/>
    </row>
    <row r="578" spans="1:26">
      <c r="A578" s="62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1"/>
    </row>
    <row r="579" spans="1:26">
      <c r="A579" s="62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1"/>
    </row>
    <row r="580" spans="1:26">
      <c r="A580" s="62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1"/>
    </row>
    <row r="581" spans="1:26">
      <c r="A581" s="62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1"/>
    </row>
    <row r="582" spans="1:26">
      <c r="A582" s="62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1"/>
    </row>
    <row r="583" spans="1:26">
      <c r="A583" s="62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1"/>
    </row>
    <row r="584" spans="1:26">
      <c r="A584" s="62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1"/>
    </row>
    <row r="585" spans="1:26">
      <c r="A585" s="62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1"/>
    </row>
    <row r="586" spans="1:26">
      <c r="A586" s="62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1"/>
    </row>
    <row r="587" spans="1:26">
      <c r="A587" s="62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1"/>
    </row>
    <row r="588" spans="1:26">
      <c r="A588" s="62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1"/>
    </row>
    <row r="589" spans="1:26">
      <c r="A589" s="62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1"/>
    </row>
    <row r="590" spans="1:26">
      <c r="A590" s="62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1"/>
    </row>
    <row r="591" spans="1:26">
      <c r="A591" s="62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1"/>
    </row>
    <row r="592" spans="1:26">
      <c r="A592" s="62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1"/>
    </row>
    <row r="593" spans="1:26">
      <c r="A593" s="62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1"/>
    </row>
    <row r="594" spans="1:26">
      <c r="A594" s="62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1"/>
    </row>
    <row r="595" spans="1:26">
      <c r="A595" s="62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1"/>
    </row>
    <row r="596" spans="1:26">
      <c r="A596" s="62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1"/>
    </row>
    <row r="597" spans="1:26">
      <c r="A597" s="62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1"/>
    </row>
    <row r="598" spans="1:26">
      <c r="A598" s="62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1"/>
    </row>
    <row r="599" spans="1:26">
      <c r="A599" s="62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1"/>
    </row>
    <row r="600" spans="1:26">
      <c r="A600" s="62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1"/>
    </row>
    <row r="601" spans="1:26">
      <c r="A601" s="62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1"/>
    </row>
    <row r="602" spans="1:26">
      <c r="A602" s="62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1"/>
    </row>
    <row r="603" spans="1:26">
      <c r="A603" s="62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1"/>
    </row>
    <row r="604" spans="1:26">
      <c r="A604" s="62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1"/>
    </row>
    <row r="605" spans="1:26">
      <c r="A605" s="62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1"/>
    </row>
    <row r="606" spans="1:26">
      <c r="A606" s="62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1"/>
    </row>
    <row r="607" spans="1:26">
      <c r="A607" s="62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1"/>
    </row>
    <row r="608" spans="1:26">
      <c r="A608" s="62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1"/>
    </row>
    <row r="609" spans="1:26">
      <c r="A609" s="62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1"/>
    </row>
    <row r="610" spans="1:26">
      <c r="A610" s="62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1"/>
    </row>
    <row r="611" spans="1:26">
      <c r="A611" s="62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1"/>
    </row>
    <row r="612" spans="1:26">
      <c r="A612" s="62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1"/>
    </row>
    <row r="613" spans="1:26">
      <c r="A613" s="62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1"/>
    </row>
    <row r="614" spans="1:26">
      <c r="A614" s="62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1"/>
    </row>
    <row r="615" spans="1:26">
      <c r="A615" s="62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1"/>
    </row>
    <row r="616" spans="1:26">
      <c r="A616" s="62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1"/>
    </row>
    <row r="617" spans="1:26">
      <c r="A617" s="62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1"/>
    </row>
    <row r="618" spans="1:26">
      <c r="A618" s="62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1"/>
    </row>
    <row r="619" spans="1:26">
      <c r="A619" s="62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1"/>
    </row>
    <row r="620" spans="1:26">
      <c r="A620" s="62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1"/>
    </row>
    <row r="621" spans="1:26">
      <c r="A621" s="62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1"/>
    </row>
    <row r="622" spans="1:26">
      <c r="A622" s="62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1"/>
    </row>
    <row r="623" spans="1:26">
      <c r="A623" s="62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1"/>
    </row>
    <row r="624" spans="1:26">
      <c r="A624" s="62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1"/>
    </row>
    <row r="625" spans="1:26">
      <c r="A625" s="62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1"/>
    </row>
    <row r="626" spans="1:26">
      <c r="A626" s="62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1"/>
    </row>
    <row r="627" spans="1:26">
      <c r="A627" s="62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1"/>
    </row>
    <row r="628" spans="1:26">
      <c r="A628" s="62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1"/>
    </row>
    <row r="629" spans="1:26">
      <c r="A629" s="62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1"/>
    </row>
    <row r="630" spans="1:26">
      <c r="A630" s="62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1"/>
    </row>
    <row r="631" spans="1:26">
      <c r="A631" s="62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1"/>
    </row>
    <row r="632" spans="1:26">
      <c r="A632" s="62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1"/>
    </row>
    <row r="633" spans="1:26">
      <c r="A633" s="62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1"/>
    </row>
    <row r="634" spans="1:26">
      <c r="A634" s="62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1"/>
    </row>
    <row r="635" spans="1:26">
      <c r="A635" s="62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1"/>
    </row>
    <row r="636" spans="1:26">
      <c r="A636" s="62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1"/>
    </row>
    <row r="637" spans="1:26">
      <c r="A637" s="62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1"/>
    </row>
    <row r="638" spans="1:26">
      <c r="A638" s="62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1"/>
    </row>
    <row r="639" spans="1:26">
      <c r="A639" s="62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1"/>
    </row>
    <row r="640" spans="1:26">
      <c r="A640" s="62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1"/>
    </row>
    <row r="641" spans="1:26">
      <c r="A641" s="62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1"/>
    </row>
    <row r="642" spans="1:26">
      <c r="A642" s="62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1"/>
    </row>
    <row r="643" spans="1:26">
      <c r="A643" s="62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1"/>
    </row>
    <row r="644" spans="1:26">
      <c r="A644" s="62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1"/>
    </row>
    <row r="645" spans="1:26">
      <c r="A645" s="62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1"/>
    </row>
    <row r="646" spans="1:26">
      <c r="A646" s="62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1"/>
    </row>
    <row r="647" spans="1:26">
      <c r="A647" s="62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1"/>
    </row>
    <row r="648" spans="1:26">
      <c r="A648" s="62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1"/>
    </row>
    <row r="649" spans="1:26">
      <c r="A649" s="62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1"/>
    </row>
    <row r="650" spans="1:26">
      <c r="A650" s="62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1"/>
    </row>
    <row r="651" spans="1:26">
      <c r="A651" s="62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1"/>
    </row>
    <row r="652" spans="1:26">
      <c r="A652" s="62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1"/>
    </row>
    <row r="653" spans="1:26">
      <c r="A653" s="62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1"/>
    </row>
    <row r="654" spans="1:26">
      <c r="A654" s="62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1"/>
    </row>
    <row r="655" spans="1:26">
      <c r="A655" s="62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1"/>
    </row>
    <row r="656" spans="1:26">
      <c r="A656" s="62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1"/>
    </row>
    <row r="657" spans="1:26">
      <c r="A657" s="62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1"/>
    </row>
    <row r="658" spans="1:26">
      <c r="A658" s="62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1"/>
    </row>
    <row r="659" spans="1:26">
      <c r="A659" s="62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1"/>
    </row>
    <row r="660" spans="1:26">
      <c r="A660" s="62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1"/>
    </row>
    <row r="661" spans="1:26">
      <c r="A661" s="62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1"/>
    </row>
    <row r="662" spans="1:26">
      <c r="A662" s="62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1"/>
    </row>
    <row r="663" spans="1:26">
      <c r="A663" s="62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1"/>
    </row>
    <row r="664" spans="1:26">
      <c r="A664" s="62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1"/>
    </row>
    <row r="665" spans="1:26">
      <c r="A665" s="62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1"/>
    </row>
    <row r="666" spans="1:26">
      <c r="A666" s="62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1"/>
    </row>
    <row r="667" spans="1:26">
      <c r="A667" s="62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1"/>
    </row>
    <row r="668" spans="1:26">
      <c r="A668" s="62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1"/>
    </row>
    <row r="669" spans="1:26">
      <c r="A669" s="62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1"/>
    </row>
    <row r="670" spans="1:26">
      <c r="A670" s="62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1"/>
    </row>
    <row r="671" spans="1:26">
      <c r="A671" s="62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1"/>
    </row>
    <row r="672" spans="1:26">
      <c r="A672" s="62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1"/>
    </row>
    <row r="673" spans="1:26">
      <c r="A673" s="62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1"/>
    </row>
    <row r="674" spans="1:26">
      <c r="A674" s="62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1"/>
    </row>
    <row r="675" spans="1:26">
      <c r="A675" s="62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1"/>
    </row>
    <row r="676" spans="1:26">
      <c r="A676" s="62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1"/>
    </row>
    <row r="677" spans="1:26">
      <c r="A677" s="62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1"/>
    </row>
    <row r="678" spans="1:26">
      <c r="A678" s="62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1"/>
    </row>
    <row r="679" spans="1:26">
      <c r="A679" s="62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1"/>
    </row>
    <row r="680" spans="1:26">
      <c r="A680" s="62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1"/>
    </row>
    <row r="681" spans="1:26">
      <c r="A681" s="62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1"/>
    </row>
    <row r="682" spans="1:26">
      <c r="A682" s="62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1"/>
    </row>
    <row r="683" spans="1:26">
      <c r="A683" s="62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1"/>
    </row>
    <row r="684" spans="1:26">
      <c r="A684" s="62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1"/>
    </row>
    <row r="685" spans="1:26">
      <c r="A685" s="62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1"/>
    </row>
    <row r="686" spans="1:26">
      <c r="A686" s="62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1"/>
    </row>
    <row r="687" spans="1:26">
      <c r="A687" s="62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1"/>
    </row>
    <row r="688" spans="1:26">
      <c r="A688" s="62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1"/>
    </row>
    <row r="689" spans="1:26">
      <c r="A689" s="62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1"/>
    </row>
    <row r="690" spans="1:26">
      <c r="A690" s="62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1"/>
    </row>
    <row r="691" spans="1:26">
      <c r="A691" s="62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1"/>
    </row>
    <row r="692" spans="1:26">
      <c r="A692" s="62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1"/>
    </row>
    <row r="693" spans="1:26">
      <c r="A693" s="62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1"/>
    </row>
    <row r="694" spans="1:26">
      <c r="A694" s="62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1"/>
    </row>
    <row r="695" spans="1:26">
      <c r="A695" s="62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1"/>
    </row>
    <row r="696" spans="1:26">
      <c r="A696" s="62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1"/>
    </row>
    <row r="697" spans="1:26">
      <c r="A697" s="62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1"/>
    </row>
    <row r="698" spans="1:26">
      <c r="A698" s="62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1"/>
    </row>
    <row r="699" spans="1:26">
      <c r="A699" s="62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1"/>
    </row>
    <row r="700" spans="1:26">
      <c r="A700" s="62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1"/>
    </row>
    <row r="701" spans="1:26">
      <c r="A701" s="62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1"/>
    </row>
    <row r="702" spans="1:26">
      <c r="A702" s="62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1"/>
    </row>
    <row r="703" spans="1:26">
      <c r="A703" s="62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1"/>
    </row>
    <row r="704" spans="1:26">
      <c r="A704" s="62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1"/>
    </row>
    <row r="705" spans="1:26">
      <c r="A705" s="62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1"/>
    </row>
    <row r="706" spans="1:26">
      <c r="A706" s="62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1"/>
    </row>
    <row r="707" spans="1:26">
      <c r="A707" s="62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1"/>
    </row>
    <row r="708" spans="1:26">
      <c r="A708" s="62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1"/>
    </row>
    <row r="709" spans="1:26">
      <c r="A709" s="62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1"/>
    </row>
    <row r="710" spans="1:26">
      <c r="A710" s="62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1"/>
    </row>
    <row r="711" spans="1:26">
      <c r="A711" s="62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1"/>
    </row>
    <row r="712" spans="1:26">
      <c r="A712" s="62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1"/>
    </row>
    <row r="713" spans="1:26">
      <c r="A713" s="62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1"/>
    </row>
    <row r="714" spans="1:26">
      <c r="A714" s="62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1"/>
    </row>
    <row r="715" spans="1:26">
      <c r="A715" s="62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1"/>
    </row>
    <row r="716" spans="1:26">
      <c r="A716" s="62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1"/>
    </row>
    <row r="717" spans="1:26">
      <c r="A717" s="62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1"/>
    </row>
    <row r="718" spans="1:26">
      <c r="A718" s="62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1"/>
    </row>
    <row r="719" spans="1:26">
      <c r="A719" s="62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1"/>
    </row>
    <row r="720" spans="1:26">
      <c r="A720" s="62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1"/>
    </row>
    <row r="721" spans="1:26">
      <c r="A721" s="62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1"/>
    </row>
    <row r="722" spans="1:26">
      <c r="A722" s="62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1"/>
    </row>
    <row r="723" spans="1:26">
      <c r="A723" s="62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1"/>
    </row>
    <row r="724" spans="1:26">
      <c r="A724" s="62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1"/>
    </row>
    <row r="725" spans="1:26">
      <c r="A725" s="62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1"/>
    </row>
    <row r="726" spans="1:26">
      <c r="A726" s="62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1"/>
    </row>
    <row r="727" spans="1:26">
      <c r="A727" s="62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1"/>
    </row>
    <row r="728" spans="1:26">
      <c r="A728" s="62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1"/>
    </row>
    <row r="729" spans="1:26">
      <c r="A729" s="62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1"/>
    </row>
    <row r="730" spans="1:26">
      <c r="A730" s="62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1"/>
    </row>
    <row r="731" spans="1:26">
      <c r="A731" s="62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1"/>
    </row>
    <row r="732" spans="1:26">
      <c r="A732" s="62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1"/>
    </row>
    <row r="733" spans="1:26">
      <c r="A733" s="62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1"/>
    </row>
    <row r="734" spans="1:26">
      <c r="A734" s="62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1"/>
    </row>
    <row r="735" spans="1:26">
      <c r="A735" s="62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1"/>
    </row>
    <row r="736" spans="1:26">
      <c r="A736" s="62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1"/>
    </row>
    <row r="737" spans="1:26">
      <c r="A737" s="62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1"/>
    </row>
    <row r="738" spans="1:26">
      <c r="A738" s="62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1"/>
    </row>
    <row r="739" spans="1:26">
      <c r="A739" s="62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1"/>
    </row>
    <row r="740" spans="1:26">
      <c r="A740" s="62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1"/>
    </row>
    <row r="741" spans="1:26">
      <c r="A741" s="62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1"/>
    </row>
    <row r="742" spans="1:26">
      <c r="A742" s="62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1"/>
    </row>
    <row r="743" spans="1:26">
      <c r="A743" s="62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1"/>
    </row>
    <row r="744" spans="1:26">
      <c r="A744" s="62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1"/>
    </row>
    <row r="745" spans="1:26">
      <c r="A745" s="62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1"/>
    </row>
    <row r="746" spans="1:26">
      <c r="A746" s="62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1"/>
    </row>
    <row r="747" spans="1:26">
      <c r="A747" s="62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1"/>
    </row>
    <row r="748" spans="1:26">
      <c r="A748" s="62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1"/>
    </row>
    <row r="749" spans="1:26">
      <c r="A749" s="62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1"/>
    </row>
    <row r="750" spans="1:26">
      <c r="A750" s="62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1"/>
    </row>
    <row r="751" spans="1:26">
      <c r="A751" s="62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1"/>
    </row>
    <row r="752" spans="1:26">
      <c r="A752" s="62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1"/>
    </row>
    <row r="753" spans="1:26">
      <c r="A753" s="62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1"/>
    </row>
    <row r="754" spans="1:26">
      <c r="A754" s="62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1"/>
    </row>
    <row r="755" spans="1:26">
      <c r="A755" s="62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1"/>
    </row>
    <row r="756" spans="1:26">
      <c r="A756" s="62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1"/>
    </row>
    <row r="757" spans="1:26">
      <c r="A757" s="62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1"/>
    </row>
    <row r="758" spans="1:26">
      <c r="A758" s="62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1"/>
    </row>
    <row r="759" spans="1:26">
      <c r="A759" s="62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1"/>
    </row>
    <row r="760" spans="1:26">
      <c r="A760" s="62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1"/>
    </row>
    <row r="761" spans="1:26">
      <c r="A761" s="62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1"/>
    </row>
    <row r="762" spans="1:26">
      <c r="A762" s="62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1"/>
    </row>
    <row r="763" spans="1:26">
      <c r="A763" s="62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1"/>
    </row>
    <row r="764" spans="1:26">
      <c r="A764" s="62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1"/>
    </row>
    <row r="765" spans="1:26">
      <c r="A765" s="62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1"/>
    </row>
    <row r="766" spans="1:26">
      <c r="A766" s="62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1"/>
    </row>
    <row r="767" spans="1:26">
      <c r="A767" s="62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1"/>
    </row>
    <row r="768" spans="1:26">
      <c r="A768" s="62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1"/>
    </row>
    <row r="769" spans="1:26">
      <c r="A769" s="62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1"/>
    </row>
    <row r="770" spans="1:26">
      <c r="A770" s="62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1"/>
    </row>
    <row r="771" spans="1:26">
      <c r="A771" s="62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1"/>
    </row>
    <row r="772" spans="1:26">
      <c r="A772" s="62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1"/>
    </row>
    <row r="773" spans="1:26">
      <c r="A773" s="62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1"/>
    </row>
    <row r="774" spans="1:26">
      <c r="A774" s="62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1"/>
    </row>
    <row r="775" spans="1:26">
      <c r="A775" s="62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1"/>
    </row>
    <row r="776" spans="1:26">
      <c r="A776" s="62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1"/>
    </row>
    <row r="777" spans="1:26">
      <c r="A777" s="62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1"/>
    </row>
    <row r="778" spans="1:26">
      <c r="A778" s="62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1"/>
    </row>
    <row r="779" spans="1:26">
      <c r="A779" s="62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1"/>
    </row>
    <row r="780" spans="1:26">
      <c r="A780" s="62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1"/>
    </row>
    <row r="781" spans="1:26">
      <c r="A781" s="62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1"/>
    </row>
    <row r="782" spans="1:26">
      <c r="A782" s="62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1"/>
    </row>
    <row r="783" spans="1:26">
      <c r="A783" s="62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1"/>
    </row>
    <row r="784" spans="1:26">
      <c r="A784" s="62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1"/>
    </row>
    <row r="785" spans="1:26">
      <c r="A785" s="62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1"/>
    </row>
    <row r="786" spans="1:26">
      <c r="A786" s="62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1"/>
    </row>
    <row r="787" spans="1:26">
      <c r="A787" s="62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1"/>
    </row>
    <row r="788" spans="1:26">
      <c r="A788" s="62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1"/>
    </row>
    <row r="789" spans="1:26">
      <c r="A789" s="62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1"/>
    </row>
    <row r="790" spans="1:26">
      <c r="A790" s="62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1"/>
    </row>
    <row r="791" spans="1:26">
      <c r="A791" s="62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1"/>
    </row>
    <row r="792" spans="1:26">
      <c r="A792" s="62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1"/>
    </row>
    <row r="793" spans="1:26">
      <c r="A793" s="62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1"/>
    </row>
    <row r="794" spans="1:26">
      <c r="A794" s="62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1"/>
    </row>
    <row r="795" spans="1:26">
      <c r="A795" s="62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1"/>
    </row>
    <row r="796" spans="1:26">
      <c r="A796" s="62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1"/>
    </row>
    <row r="797" spans="1:26">
      <c r="A797" s="62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1"/>
    </row>
    <row r="798" spans="1:26">
      <c r="A798" s="62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1"/>
    </row>
    <row r="799" spans="1:26">
      <c r="A799" s="62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1"/>
    </row>
    <row r="800" spans="1:26">
      <c r="A800" s="62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1"/>
    </row>
    <row r="801" spans="1:26">
      <c r="A801" s="62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1"/>
    </row>
    <row r="802" spans="1:26">
      <c r="A802" s="62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1"/>
    </row>
    <row r="803" spans="1:26">
      <c r="A803" s="62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1"/>
    </row>
    <row r="804" spans="1:26">
      <c r="A804" s="62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1"/>
    </row>
    <row r="805" spans="1:26">
      <c r="A805" s="62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1"/>
    </row>
    <row r="806" spans="1:26">
      <c r="A806" s="62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1"/>
    </row>
    <row r="807" spans="1:26">
      <c r="A807" s="62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1"/>
    </row>
    <row r="808" spans="1:26">
      <c r="A808" s="62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1"/>
    </row>
    <row r="809" spans="1:26">
      <c r="A809" s="62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1"/>
    </row>
    <row r="810" spans="1:26">
      <c r="A810" s="62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1"/>
    </row>
    <row r="811" spans="1:26">
      <c r="A811" s="62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1"/>
    </row>
    <row r="812" spans="1:26">
      <c r="A812" s="62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1"/>
    </row>
    <row r="813" spans="1:26">
      <c r="A813" s="62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1"/>
    </row>
    <row r="814" spans="1:26">
      <c r="A814" s="62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1"/>
    </row>
    <row r="815" spans="1:26">
      <c r="A815" s="62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1"/>
    </row>
    <row r="816" spans="1:26">
      <c r="A816" s="62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1"/>
    </row>
    <row r="817" spans="1:26">
      <c r="A817" s="62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1"/>
    </row>
    <row r="818" spans="1:26">
      <c r="A818" s="62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1"/>
    </row>
    <row r="819" spans="1:26">
      <c r="A819" s="62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1"/>
    </row>
    <row r="820" spans="1:26">
      <c r="A820" s="62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1"/>
    </row>
    <row r="821" spans="1:26">
      <c r="A821" s="62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1"/>
    </row>
    <row r="822" spans="1:26">
      <c r="A822" s="62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1"/>
    </row>
    <row r="823" spans="1:26">
      <c r="A823" s="62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1"/>
    </row>
    <row r="824" spans="1:26">
      <c r="A824" s="62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1"/>
    </row>
    <row r="825" spans="1:26">
      <c r="A825" s="62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1"/>
    </row>
    <row r="826" spans="1:26">
      <c r="A826" s="62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1"/>
    </row>
    <row r="827" spans="1:26">
      <c r="A827" s="62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1"/>
    </row>
    <row r="828" spans="1:26">
      <c r="A828" s="62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1"/>
    </row>
    <row r="829" spans="1:26">
      <c r="A829" s="62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1"/>
    </row>
    <row r="830" spans="1:26">
      <c r="A830" s="62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1"/>
    </row>
    <row r="831" spans="1:26">
      <c r="A831" s="62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1"/>
    </row>
    <row r="832" spans="1:26">
      <c r="A832" s="62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1"/>
    </row>
    <row r="833" spans="1:26">
      <c r="A833" s="62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1"/>
    </row>
    <row r="834" spans="1:26">
      <c r="A834" s="62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1"/>
    </row>
    <row r="835" spans="1:26">
      <c r="A835" s="62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1"/>
    </row>
    <row r="836" spans="1:26">
      <c r="A836" s="62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1"/>
    </row>
    <row r="837" spans="1:26">
      <c r="A837" s="62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1"/>
    </row>
    <row r="838" spans="1:26">
      <c r="A838" s="62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1"/>
    </row>
    <row r="839" spans="1:26">
      <c r="A839" s="62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1"/>
    </row>
    <row r="840" spans="1:26">
      <c r="A840" s="62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1"/>
    </row>
    <row r="841" spans="1:26">
      <c r="A841" s="62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1"/>
    </row>
    <row r="842" spans="1:26">
      <c r="A842" s="62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1"/>
    </row>
    <row r="843" spans="1:26">
      <c r="A843" s="62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1"/>
    </row>
    <row r="844" spans="1:26">
      <c r="A844" s="62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1"/>
    </row>
    <row r="845" spans="1:26">
      <c r="A845" s="62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1"/>
    </row>
    <row r="846" spans="1:26">
      <c r="A846" s="62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1"/>
    </row>
    <row r="847" spans="1:26">
      <c r="A847" s="62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1"/>
    </row>
    <row r="848" spans="1:26">
      <c r="A848" s="62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1"/>
    </row>
    <row r="849" spans="1:26">
      <c r="A849" s="62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1"/>
    </row>
    <row r="850" spans="1:26">
      <c r="A850" s="62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1"/>
    </row>
    <row r="851" spans="1:26">
      <c r="A851" s="62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1"/>
    </row>
    <row r="852" spans="1:26">
      <c r="A852" s="62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1"/>
    </row>
    <row r="853" spans="1:26">
      <c r="A853" s="62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1"/>
    </row>
    <row r="854" spans="1:26">
      <c r="A854" s="62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1"/>
    </row>
    <row r="855" spans="1:26">
      <c r="A855" s="62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1"/>
    </row>
    <row r="856" spans="1:26">
      <c r="A856" s="62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1"/>
    </row>
    <row r="857" spans="1:26">
      <c r="A857" s="62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1"/>
    </row>
    <row r="858" spans="1:26">
      <c r="A858" s="62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1"/>
    </row>
    <row r="859" spans="1:26">
      <c r="A859" s="62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1"/>
    </row>
    <row r="860" spans="1:26">
      <c r="A860" s="62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1"/>
    </row>
    <row r="861" spans="1:26">
      <c r="A861" s="62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1"/>
    </row>
    <row r="862" spans="1:26">
      <c r="A862" s="62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1"/>
    </row>
    <row r="863" spans="1:26">
      <c r="A863" s="62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1"/>
    </row>
    <row r="864" spans="1:26">
      <c r="A864" s="62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1"/>
    </row>
    <row r="865" spans="1:26">
      <c r="A865" s="62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1"/>
    </row>
    <row r="866" spans="1:26">
      <c r="A866" s="62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1"/>
    </row>
    <row r="867" spans="1:26">
      <c r="A867" s="62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1"/>
    </row>
    <row r="868" spans="1:26">
      <c r="A868" s="62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1"/>
    </row>
    <row r="869" spans="1:26">
      <c r="A869" s="62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1"/>
    </row>
    <row r="870" spans="1:26">
      <c r="A870" s="62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1"/>
    </row>
    <row r="871" spans="1:26">
      <c r="A871" s="62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1"/>
    </row>
    <row r="872" spans="1:26">
      <c r="A872" s="62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1"/>
    </row>
    <row r="873" spans="1:26">
      <c r="A873" s="62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1"/>
    </row>
    <row r="874" spans="1:26">
      <c r="A874" s="62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1"/>
    </row>
    <row r="875" spans="1:26">
      <c r="A875" s="62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1"/>
    </row>
    <row r="876" spans="1:26">
      <c r="A876" s="62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1"/>
    </row>
    <row r="877" spans="1:26">
      <c r="A877" s="62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1"/>
    </row>
    <row r="878" spans="1:26">
      <c r="A878" s="62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1"/>
    </row>
    <row r="879" spans="1:26">
      <c r="A879" s="62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1"/>
    </row>
    <row r="880" spans="1:26">
      <c r="A880" s="62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1"/>
    </row>
    <row r="881" spans="1:26">
      <c r="A881" s="62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1"/>
    </row>
    <row r="882" spans="1:26">
      <c r="A882" s="62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1"/>
    </row>
    <row r="883" spans="1:26">
      <c r="A883" s="62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1"/>
    </row>
    <row r="884" spans="1:26">
      <c r="A884" s="62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1"/>
    </row>
    <row r="885" spans="1:26">
      <c r="A885" s="62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1"/>
    </row>
    <row r="886" spans="1:26">
      <c r="A886" s="62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1"/>
    </row>
    <row r="887" spans="1:26">
      <c r="A887" s="62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1"/>
    </row>
    <row r="888" spans="1:26">
      <c r="A888" s="62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1"/>
    </row>
    <row r="889" spans="1:26">
      <c r="A889" s="62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1"/>
    </row>
    <row r="890" spans="1:26">
      <c r="A890" s="62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1"/>
    </row>
    <row r="891" spans="1:26">
      <c r="A891" s="62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1"/>
    </row>
    <row r="892" spans="1:26">
      <c r="A892" s="62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1"/>
    </row>
    <row r="893" spans="1:26">
      <c r="A893" s="62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1"/>
    </row>
    <row r="894" spans="1:26">
      <c r="A894" s="62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1"/>
    </row>
    <row r="895" spans="1:26">
      <c r="A895" s="62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1"/>
    </row>
    <row r="896" spans="1:26">
      <c r="A896" s="62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1"/>
    </row>
    <row r="897" spans="1:26">
      <c r="A897" s="62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1"/>
    </row>
    <row r="898" spans="1:26">
      <c r="A898" s="62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1"/>
    </row>
    <row r="899" spans="1:26">
      <c r="A899" s="62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1"/>
    </row>
    <row r="900" spans="1:26">
      <c r="A900" s="62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1"/>
    </row>
    <row r="901" spans="1:26">
      <c r="A901" s="62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1"/>
    </row>
    <row r="902" spans="1:26">
      <c r="A902" s="62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1"/>
    </row>
    <row r="903" spans="1:26">
      <c r="A903" s="62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1"/>
    </row>
    <row r="904" spans="1:26">
      <c r="A904" s="62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1"/>
    </row>
    <row r="905" spans="1:26">
      <c r="A905" s="62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1"/>
    </row>
    <row r="906" spans="1:26">
      <c r="A906" s="62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1"/>
    </row>
    <row r="907" spans="1:26">
      <c r="A907" s="62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1"/>
    </row>
    <row r="908" spans="1:26">
      <c r="A908" s="62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1"/>
    </row>
    <row r="909" spans="1:26">
      <c r="A909" s="62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1"/>
    </row>
    <row r="910" spans="1:26">
      <c r="A910" s="62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1"/>
    </row>
    <row r="911" spans="1:26">
      <c r="A911" s="62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1"/>
    </row>
    <row r="912" spans="1:26">
      <c r="A912" s="62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1"/>
    </row>
    <row r="913" spans="1:26">
      <c r="A913" s="62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1"/>
    </row>
    <row r="914" spans="1:26">
      <c r="A914" s="62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1"/>
    </row>
    <row r="915" spans="1:26">
      <c r="A915" s="62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1"/>
    </row>
    <row r="916" spans="1:26">
      <c r="A916" s="62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1"/>
    </row>
    <row r="917" spans="1:26">
      <c r="A917" s="62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1"/>
    </row>
    <row r="918" spans="1:26">
      <c r="A918" s="62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1"/>
    </row>
    <row r="919" spans="1:26">
      <c r="A919" s="62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1"/>
    </row>
    <row r="920" spans="1:26">
      <c r="A920" s="62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1"/>
    </row>
    <row r="921" spans="1:26">
      <c r="A921" s="62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1"/>
    </row>
    <row r="922" spans="1:26">
      <c r="A922" s="62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1"/>
    </row>
    <row r="923" spans="1:26">
      <c r="A923" s="62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1"/>
    </row>
    <row r="924" spans="1:26">
      <c r="A924" s="62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1"/>
    </row>
    <row r="925" spans="1:26">
      <c r="A925" s="62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1"/>
    </row>
    <row r="926" spans="1:26">
      <c r="A926" s="62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1"/>
    </row>
    <row r="927" spans="1:26">
      <c r="A927" s="62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1"/>
    </row>
    <row r="928" spans="1:26">
      <c r="A928" s="62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1"/>
    </row>
    <row r="929" spans="1:26">
      <c r="A929" s="62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1"/>
    </row>
    <row r="930" spans="1:26">
      <c r="A930" s="62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1"/>
    </row>
    <row r="931" spans="1:26">
      <c r="A931" s="62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1"/>
    </row>
    <row r="932" spans="1:26">
      <c r="A932" s="62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1"/>
    </row>
    <row r="933" spans="1:26">
      <c r="A933" s="62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1"/>
    </row>
    <row r="934" spans="1:26">
      <c r="A934" s="62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1"/>
    </row>
    <row r="935" spans="1:26">
      <c r="A935" s="62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1"/>
    </row>
    <row r="936" spans="1:26">
      <c r="A936" s="62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1"/>
    </row>
    <row r="937" spans="1:26">
      <c r="A937" s="62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1"/>
    </row>
    <row r="938" spans="1:26">
      <c r="A938" s="62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1"/>
    </row>
    <row r="939" spans="1:26">
      <c r="A939" s="62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1"/>
    </row>
    <row r="940" spans="1:26">
      <c r="A940" s="62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1"/>
    </row>
    <row r="941" spans="1:26">
      <c r="A941" s="62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1"/>
    </row>
    <row r="942" spans="1:26">
      <c r="A942" s="62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1"/>
    </row>
    <row r="943" spans="1:26">
      <c r="A943" s="62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1"/>
    </row>
    <row r="944" spans="1:26">
      <c r="A944" s="62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1"/>
    </row>
    <row r="945" spans="1:26">
      <c r="A945" s="62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1"/>
    </row>
    <row r="946" spans="1:26">
      <c r="A946" s="62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1"/>
    </row>
    <row r="947" spans="1:26">
      <c r="A947" s="62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1"/>
    </row>
    <row r="948" spans="1:26">
      <c r="A948" s="62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1"/>
    </row>
    <row r="949" spans="1:26">
      <c r="A949" s="62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1"/>
    </row>
    <row r="950" spans="1:26">
      <c r="A950" s="62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1"/>
    </row>
    <row r="951" spans="1:26">
      <c r="A951" s="62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1"/>
    </row>
    <row r="952" spans="1:26">
      <c r="A952" s="62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1"/>
    </row>
    <row r="953" spans="1:26">
      <c r="A953" s="62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1"/>
    </row>
    <row r="954" spans="1:26">
      <c r="A954" s="62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1"/>
    </row>
    <row r="955" spans="1:26">
      <c r="A955" s="62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1"/>
    </row>
    <row r="956" spans="1:26">
      <c r="A956" s="62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1"/>
    </row>
    <row r="957" spans="1:26">
      <c r="A957" s="62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1"/>
    </row>
    <row r="958" spans="1:26">
      <c r="A958" s="62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1"/>
    </row>
    <row r="959" spans="1:26">
      <c r="A959" s="62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1"/>
    </row>
    <row r="960" spans="1:26">
      <c r="A960" s="62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1"/>
    </row>
    <row r="961" spans="1:26">
      <c r="A961" s="62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1"/>
    </row>
    <row r="962" spans="1:26">
      <c r="A962" s="62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1"/>
    </row>
    <row r="963" spans="1:26">
      <c r="A963" s="62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1"/>
    </row>
    <row r="964" spans="1:26">
      <c r="A964" s="62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1"/>
    </row>
    <row r="965" spans="1:26">
      <c r="A965" s="62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1"/>
    </row>
    <row r="966" spans="1:26">
      <c r="A966" s="62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1"/>
    </row>
    <row r="967" spans="1:26">
      <c r="A967" s="62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1"/>
    </row>
    <row r="968" spans="1:26">
      <c r="A968" s="62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1"/>
    </row>
    <row r="969" spans="1:26">
      <c r="A969" s="62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1"/>
    </row>
    <row r="970" spans="1:26">
      <c r="A970" s="62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1"/>
    </row>
    <row r="971" spans="1:26">
      <c r="A971" s="62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1"/>
    </row>
    <row r="972" spans="1:26">
      <c r="A972" s="62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1"/>
    </row>
    <row r="973" spans="1:26">
      <c r="A973" s="62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1"/>
    </row>
    <row r="974" spans="1:26">
      <c r="A974" s="62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1"/>
    </row>
    <row r="975" spans="1:26">
      <c r="A975" s="62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1"/>
    </row>
    <row r="976" spans="1:26">
      <c r="A976" s="62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1"/>
    </row>
    <row r="977" spans="1:26">
      <c r="A977" s="62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1"/>
    </row>
    <row r="978" spans="1:26">
      <c r="A978" s="62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1"/>
    </row>
    <row r="979" spans="1:26">
      <c r="A979" s="62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1"/>
    </row>
    <row r="980" spans="1:26">
      <c r="A980" s="62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1"/>
    </row>
    <row r="981" spans="1:26">
      <c r="A981" s="62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1"/>
    </row>
    <row r="982" spans="1:26">
      <c r="A982" s="62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1"/>
    </row>
    <row r="983" spans="1:26">
      <c r="A983" s="62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1"/>
    </row>
    <row r="984" spans="1:26">
      <c r="A984" s="62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1"/>
    </row>
    <row r="985" spans="1:26">
      <c r="A985" s="62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1"/>
    </row>
    <row r="986" spans="1:26">
      <c r="A986" s="62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1"/>
    </row>
    <row r="987" spans="1:26">
      <c r="A987" s="62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1"/>
    </row>
    <row r="988" spans="1:26">
      <c r="A988" s="62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1"/>
    </row>
    <row r="989" spans="1:26">
      <c r="A989" s="62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1"/>
    </row>
    <row r="990" spans="1:26">
      <c r="A990" s="62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1"/>
    </row>
    <row r="991" spans="1:26">
      <c r="A991" s="62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1"/>
    </row>
    <row r="992" spans="1:26">
      <c r="A992" s="62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1"/>
    </row>
    <row r="993" spans="1:26">
      <c r="A993" s="62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1"/>
    </row>
    <row r="994" spans="1:26">
      <c r="A994" s="62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1"/>
    </row>
    <row r="995" spans="1:26">
      <c r="A995" s="62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1"/>
    </row>
    <row r="996" spans="1:26">
      <c r="A996" s="62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1"/>
    </row>
    <row r="997" spans="1:26">
      <c r="A997" s="62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1"/>
    </row>
    <row r="998" spans="1:26">
      <c r="A998" s="62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1"/>
    </row>
    <row r="999" spans="1:26">
      <c r="A999" s="62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1"/>
    </row>
    <row r="1000" spans="1:26">
      <c r="A1000" s="63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A13C-3B23-4F8D-8C59-B3148E2BA131}">
  <dimension ref="A1:I20"/>
  <sheetViews>
    <sheetView tabSelected="1" workbookViewId="0">
      <selection activeCell="O7" sqref="O6:O7"/>
    </sheetView>
  </sheetViews>
  <sheetFormatPr defaultRowHeight="15"/>
  <cols>
    <col min="1" max="1" width="26" customWidth="1"/>
    <col min="2" max="2" width="14" bestFit="1" customWidth="1"/>
    <col min="3" max="3" width="19.7109375" bestFit="1" customWidth="1"/>
    <col min="4" max="4" width="15.85546875" bestFit="1" customWidth="1"/>
    <col min="5" max="5" width="15" bestFit="1" customWidth="1"/>
    <col min="8" max="8" width="9.7109375" bestFit="1" customWidth="1"/>
  </cols>
  <sheetData>
    <row r="1" spans="1:7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</row>
    <row r="2" spans="1:7">
      <c r="A2" t="s">
        <v>183</v>
      </c>
      <c r="B2">
        <f>89+89+79</f>
        <v>257</v>
      </c>
      <c r="C2">
        <f>Sheet1!D8</f>
        <v>369.2</v>
      </c>
      <c r="D2">
        <f>Sheet1!J8</f>
        <v>25.9</v>
      </c>
      <c r="E2">
        <f>'turnover and special teams'!I3</f>
        <v>11</v>
      </c>
      <c r="F2">
        <f>Sheet1!H8</f>
        <v>144.5</v>
      </c>
      <c r="G2">
        <f>Sheet1!F8</f>
        <v>225.1</v>
      </c>
    </row>
    <row r="3" spans="1:7">
      <c r="A3" t="s">
        <v>184</v>
      </c>
    </row>
    <row r="4" spans="1:7">
      <c r="A4" t="s">
        <v>185</v>
      </c>
      <c r="B4">
        <f>95+93+91</f>
        <v>279</v>
      </c>
      <c r="C4">
        <f>Sheet1!D32</f>
        <v>262.10000000000002</v>
      </c>
      <c r="D4">
        <f>Sheet1!J32</f>
        <v>16.399999999999999</v>
      </c>
      <c r="E4">
        <f>'turnover and special teams'!I29</f>
        <v>25</v>
      </c>
      <c r="F4">
        <f>Sheet1!H32</f>
        <v>97</v>
      </c>
      <c r="G4">
        <f>Sheet1!F32</f>
        <v>165.2</v>
      </c>
    </row>
    <row r="6" spans="1:7">
      <c r="A6" t="s">
        <v>186</v>
      </c>
    </row>
    <row r="7" spans="1:7">
      <c r="A7" t="s">
        <v>183</v>
      </c>
      <c r="B7">
        <f>87+90+93</f>
        <v>270</v>
      </c>
      <c r="C7">
        <f>Sheet1!N8</f>
        <v>361.8</v>
      </c>
      <c r="D7">
        <f>Sheet1!T8</f>
        <v>24.4</v>
      </c>
      <c r="E7">
        <f>'turnover and special teams'!F3</f>
        <v>33</v>
      </c>
      <c r="F7">
        <f>Sheet1!R8</f>
        <v>134.5</v>
      </c>
      <c r="G7">
        <f>Sheet1!P8</f>
        <v>227.2</v>
      </c>
    </row>
    <row r="8" spans="1:7">
      <c r="A8" t="s">
        <v>184</v>
      </c>
    </row>
    <row r="9" spans="1:7">
      <c r="A9" t="s">
        <v>185</v>
      </c>
      <c r="B9">
        <f>92+84+99</f>
        <v>275</v>
      </c>
      <c r="C9">
        <f>Sheet1!N32</f>
        <v>283.60000000000002</v>
      </c>
      <c r="D9">
        <f>Sheet1!T32</f>
        <v>22.3</v>
      </c>
      <c r="E9">
        <f>'turnover and special teams'!F29</f>
        <v>18</v>
      </c>
      <c r="F9">
        <f>Sheet1!R32</f>
        <v>116.4</v>
      </c>
      <c r="G9">
        <f>Sheet1!P32</f>
        <v>167.2</v>
      </c>
    </row>
    <row r="11" spans="1:7">
      <c r="A11" t="s">
        <v>187</v>
      </c>
    </row>
    <row r="12" spans="1:7">
      <c r="A12" t="s">
        <v>183</v>
      </c>
      <c r="B12">
        <f>B2-B7</f>
        <v>-13</v>
      </c>
      <c r="C12">
        <f>C2-C7</f>
        <v>7.3999999999999773</v>
      </c>
      <c r="D12">
        <f>D2-D7</f>
        <v>1.5</v>
      </c>
      <c r="E12">
        <f>E2-E9</f>
        <v>-7</v>
      </c>
      <c r="F12">
        <f>F2-F9</f>
        <v>28.099999999999994</v>
      </c>
      <c r="G12">
        <f>G2-G9</f>
        <v>57.900000000000006</v>
      </c>
    </row>
    <row r="13" spans="1:7">
      <c r="A13" t="s">
        <v>184</v>
      </c>
    </row>
    <row r="14" spans="1:7">
      <c r="A14" t="s">
        <v>185</v>
      </c>
      <c r="B14">
        <f>B4-B9</f>
        <v>4</v>
      </c>
      <c r="C14">
        <f>C4-C9</f>
        <v>-21.5</v>
      </c>
      <c r="D14">
        <f>D4-D9</f>
        <v>-5.9000000000000021</v>
      </c>
      <c r="E14">
        <f>E4-E7</f>
        <v>-8</v>
      </c>
      <c r="F14">
        <f>F4-F7</f>
        <v>-37.5</v>
      </c>
      <c r="G14">
        <f>G4-G7</f>
        <v>-62</v>
      </c>
    </row>
    <row r="16" spans="1:7">
      <c r="F16" t="s">
        <v>183</v>
      </c>
      <c r="G16">
        <f>(E12+F12+G12+C12+D12)/10+B12</f>
        <v>-4.2100000000000026</v>
      </c>
    </row>
    <row r="17" spans="6:9">
      <c r="F17" t="s">
        <v>185</v>
      </c>
      <c r="G17">
        <f>(E14+F14+G14+C14+D14)/10+B14</f>
        <v>-9.49</v>
      </c>
    </row>
    <row r="18" spans="6:9">
      <c r="G18">
        <f>G17-G16</f>
        <v>-5.2799999999999976</v>
      </c>
      <c r="H18" t="s">
        <v>188</v>
      </c>
    </row>
    <row r="20" spans="6:9">
      <c r="F20" t="s">
        <v>189</v>
      </c>
      <c r="G20" t="s">
        <v>183</v>
      </c>
      <c r="H20" s="128">
        <v>-5.28</v>
      </c>
      <c r="I20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30F7-B26E-4503-8DC8-B78E56424C9E}">
  <dimension ref="A1:Z1000"/>
  <sheetViews>
    <sheetView workbookViewId="0">
      <selection activeCell="D1" sqref="D1"/>
    </sheetView>
  </sheetViews>
  <sheetFormatPr defaultRowHeight="15"/>
  <cols>
    <col min="1" max="1" width="22.28515625" bestFit="1" customWidth="1"/>
    <col min="2" max="2" width="7" bestFit="1" customWidth="1"/>
  </cols>
  <sheetData>
    <row r="1" spans="1:26">
      <c r="A1" s="66" t="s">
        <v>84</v>
      </c>
      <c r="B1" s="67" t="s">
        <v>174</v>
      </c>
      <c r="C1" s="67" t="s">
        <v>175</v>
      </c>
      <c r="D1" s="67" t="s">
        <v>171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7"/>
    </row>
    <row r="2" spans="1:26">
      <c r="A2" s="68" t="s">
        <v>35</v>
      </c>
      <c r="B2" s="22">
        <v>-133</v>
      </c>
      <c r="C2" s="22">
        <v>-349</v>
      </c>
      <c r="D2" s="22">
        <v>4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1"/>
    </row>
    <row r="3" spans="1:26">
      <c r="A3" s="68" t="s">
        <v>30</v>
      </c>
      <c r="B3" s="22">
        <v>-48</v>
      </c>
      <c r="C3" s="22">
        <v>-78</v>
      </c>
      <c r="D3" s="22">
        <v>9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1"/>
    </row>
    <row r="4" spans="1:26">
      <c r="A4" s="68" t="s">
        <v>32</v>
      </c>
      <c r="B4" s="22">
        <v>26</v>
      </c>
      <c r="C4" s="22">
        <v>-276</v>
      </c>
      <c r="D4" s="22">
        <v>2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1"/>
    </row>
    <row r="5" spans="1:26">
      <c r="A5" s="68" t="s">
        <v>20</v>
      </c>
      <c r="B5" s="22">
        <v>116</v>
      </c>
      <c r="C5" s="22">
        <v>1486</v>
      </c>
      <c r="D5" s="22">
        <v>5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1"/>
    </row>
    <row r="6" spans="1:26">
      <c r="A6" s="68" t="s">
        <v>43</v>
      </c>
      <c r="B6" s="22">
        <v>-69</v>
      </c>
      <c r="C6" s="22">
        <v>-472</v>
      </c>
      <c r="D6" s="22">
        <v>3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1"/>
    </row>
    <row r="7" spans="1:26">
      <c r="A7" s="68" t="s">
        <v>22</v>
      </c>
      <c r="B7" s="22">
        <v>26</v>
      </c>
      <c r="C7" s="22">
        <v>88</v>
      </c>
      <c r="D7" s="22">
        <v>21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1"/>
    </row>
    <row r="8" spans="1:26">
      <c r="A8" s="68" t="s">
        <v>33</v>
      </c>
      <c r="B8" s="22">
        <v>-78</v>
      </c>
      <c r="C8" s="22">
        <v>-440</v>
      </c>
      <c r="D8" s="22">
        <v>-2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1"/>
    </row>
    <row r="9" spans="1:26">
      <c r="A9" s="68" t="s">
        <v>46</v>
      </c>
      <c r="B9" s="22">
        <v>-100</v>
      </c>
      <c r="C9" s="22">
        <v>-398</v>
      </c>
      <c r="D9" s="22">
        <v>-6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1"/>
    </row>
    <row r="10" spans="1:26">
      <c r="A10" s="68" t="s">
        <v>18</v>
      </c>
      <c r="B10" s="22">
        <v>-40</v>
      </c>
      <c r="C10" s="22">
        <v>150</v>
      </c>
      <c r="D10" s="22">
        <v>-6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1"/>
    </row>
    <row r="11" spans="1:26">
      <c r="A11" s="68" t="s">
        <v>26</v>
      </c>
      <c r="B11" s="22">
        <v>90</v>
      </c>
      <c r="C11" s="22">
        <v>795</v>
      </c>
      <c r="D11" s="22">
        <v>-2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1"/>
    </row>
    <row r="12" spans="1:26">
      <c r="A12" s="68" t="s">
        <v>21</v>
      </c>
      <c r="B12" s="22">
        <v>68</v>
      </c>
      <c r="C12" s="22">
        <v>634</v>
      </c>
      <c r="D12" s="22">
        <v>6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1"/>
    </row>
    <row r="13" spans="1:26">
      <c r="A13" s="68" t="s">
        <v>31</v>
      </c>
      <c r="B13" s="22">
        <v>31</v>
      </c>
      <c r="C13" s="22">
        <v>365</v>
      </c>
      <c r="D13" s="22">
        <v>2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1"/>
    </row>
    <row r="14" spans="1:26">
      <c r="A14" s="68" t="s">
        <v>34</v>
      </c>
      <c r="B14" s="22">
        <v>109</v>
      </c>
      <c r="C14" s="22">
        <v>729</v>
      </c>
      <c r="D14" s="22">
        <v>14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1"/>
    </row>
    <row r="15" spans="1:26">
      <c r="A15" s="68" t="s">
        <v>25</v>
      </c>
      <c r="B15" s="22">
        <v>54</v>
      </c>
      <c r="C15" s="22">
        <v>-107</v>
      </c>
      <c r="D15" s="22">
        <v>2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1"/>
    </row>
    <row r="16" spans="1:26">
      <c r="A16" s="68" t="s">
        <v>27</v>
      </c>
      <c r="B16" s="22">
        <v>138</v>
      </c>
      <c r="C16" s="22">
        <v>594</v>
      </c>
      <c r="D16" s="22">
        <v>13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1"/>
    </row>
    <row r="17" spans="1:26">
      <c r="A17" s="68" t="s">
        <v>36</v>
      </c>
      <c r="B17" s="22">
        <v>34</v>
      </c>
      <c r="C17" s="22">
        <v>475</v>
      </c>
      <c r="D17" s="22">
        <v>-3</v>
      </c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1"/>
    </row>
    <row r="18" spans="1:26">
      <c r="A18" s="68" t="s">
        <v>48</v>
      </c>
      <c r="B18" s="22">
        <v>-191</v>
      </c>
      <c r="C18" s="22">
        <v>-998</v>
      </c>
      <c r="D18" s="22">
        <v>-9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1"/>
    </row>
    <row r="19" spans="1:26">
      <c r="A19" s="68" t="s">
        <v>28</v>
      </c>
      <c r="B19" s="22">
        <v>28</v>
      </c>
      <c r="C19" s="22">
        <v>915</v>
      </c>
      <c r="D19" s="22">
        <v>4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1"/>
    </row>
    <row r="20" spans="1:26">
      <c r="A20" s="68" t="s">
        <v>17</v>
      </c>
      <c r="B20" s="22">
        <v>172</v>
      </c>
      <c r="C20" s="22">
        <v>987</v>
      </c>
      <c r="D20" s="22">
        <v>12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1"/>
    </row>
    <row r="21" spans="1:26">
      <c r="A21" s="68" t="s">
        <v>42</v>
      </c>
      <c r="B21" s="22">
        <v>-77</v>
      </c>
      <c r="C21" s="22">
        <v>-805</v>
      </c>
      <c r="D21" s="22">
        <v>-4</v>
      </c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1"/>
    </row>
    <row r="22" spans="1:26">
      <c r="A22" s="68" t="s">
        <v>44</v>
      </c>
      <c r="B22" s="22">
        <v>11</v>
      </c>
      <c r="C22" s="22">
        <v>-82</v>
      </c>
      <c r="D22" s="22">
        <v>-1</v>
      </c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1"/>
    </row>
    <row r="23" spans="1:26">
      <c r="A23" s="68" t="s">
        <v>19</v>
      </c>
      <c r="B23" s="22">
        <v>170</v>
      </c>
      <c r="C23" s="22">
        <v>1409</v>
      </c>
      <c r="D23" s="22">
        <v>6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1"/>
    </row>
    <row r="24" spans="1:26">
      <c r="A24" s="68" t="s">
        <v>39</v>
      </c>
      <c r="B24" s="22">
        <v>-77</v>
      </c>
      <c r="C24" s="22">
        <v>244</v>
      </c>
      <c r="D24" s="22">
        <v>3</v>
      </c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1"/>
    </row>
    <row r="25" spans="1:26">
      <c r="A25" s="68" t="s">
        <v>29</v>
      </c>
      <c r="B25" s="22">
        <v>-58</v>
      </c>
      <c r="C25" s="22">
        <v>-480</v>
      </c>
      <c r="D25" s="22">
        <v>0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1"/>
    </row>
    <row r="26" spans="1:26">
      <c r="A26" s="68" t="s">
        <v>45</v>
      </c>
      <c r="B26" s="22">
        <v>-203</v>
      </c>
      <c r="C26" s="22">
        <v>-969</v>
      </c>
      <c r="D26" s="22">
        <v>-14</v>
      </c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1"/>
    </row>
    <row r="27" spans="1:26">
      <c r="A27" s="68" t="s">
        <v>40</v>
      </c>
      <c r="B27" s="22">
        <v>54</v>
      </c>
      <c r="C27" s="22">
        <v>-105</v>
      </c>
      <c r="D27" s="22">
        <v>9</v>
      </c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1"/>
    </row>
    <row r="28" spans="1:26">
      <c r="A28" s="68" t="s">
        <v>41</v>
      </c>
      <c r="B28" s="22">
        <v>10</v>
      </c>
      <c r="C28" s="22">
        <v>-971</v>
      </c>
      <c r="D28" s="22">
        <v>13</v>
      </c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1"/>
    </row>
    <row r="29" spans="1:26">
      <c r="A29" s="68" t="s">
        <v>23</v>
      </c>
      <c r="B29" s="22">
        <v>66</v>
      </c>
      <c r="C29" s="22">
        <v>192</v>
      </c>
      <c r="D29" s="22">
        <v>-5</v>
      </c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1"/>
    </row>
    <row r="30" spans="1:26">
      <c r="A30" s="68" t="s">
        <v>24</v>
      </c>
      <c r="B30" s="22">
        <v>191</v>
      </c>
      <c r="C30" s="22">
        <v>982</v>
      </c>
      <c r="D30" s="22">
        <v>7</v>
      </c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1"/>
    </row>
    <row r="31" spans="1:26">
      <c r="A31" s="68" t="s">
        <v>37</v>
      </c>
      <c r="B31" s="22">
        <v>-31</v>
      </c>
      <c r="C31" s="22">
        <v>-314</v>
      </c>
      <c r="D31" s="22">
        <v>7</v>
      </c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</row>
    <row r="32" spans="1:26">
      <c r="A32" s="68" t="s">
        <v>47</v>
      </c>
      <c r="B32" s="22">
        <v>-194</v>
      </c>
      <c r="C32" s="22">
        <v>-1339</v>
      </c>
      <c r="D32" s="22">
        <v>-6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1"/>
    </row>
    <row r="33" spans="1:26">
      <c r="A33" s="69" t="s">
        <v>38</v>
      </c>
      <c r="B33" s="70">
        <v>-95</v>
      </c>
      <c r="C33" s="70">
        <v>-852</v>
      </c>
      <c r="D33" s="70">
        <v>-6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1"/>
    </row>
    <row r="34" spans="1:26">
      <c r="A34" s="71" t="s">
        <v>190</v>
      </c>
      <c r="B34" s="72">
        <v>0</v>
      </c>
      <c r="C34" s="72">
        <v>1010</v>
      </c>
      <c r="D34" s="72">
        <v>78</v>
      </c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1"/>
    </row>
    <row r="35" spans="1:26">
      <c r="A35" s="62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1"/>
    </row>
    <row r="36" spans="1:26">
      <c r="A36" s="62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1"/>
    </row>
    <row r="37" spans="1:26">
      <c r="A37" s="62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1"/>
    </row>
    <row r="38" spans="1:26">
      <c r="A38" s="62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1"/>
    </row>
    <row r="39" spans="1:26">
      <c r="A39" s="62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1"/>
    </row>
    <row r="40" spans="1:26">
      <c r="A40" s="62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1"/>
    </row>
    <row r="41" spans="1:26">
      <c r="A41" s="62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1"/>
    </row>
    <row r="42" spans="1:26">
      <c r="A42" s="62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1"/>
    </row>
    <row r="43" spans="1:26">
      <c r="A43" s="62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1"/>
    </row>
    <row r="44" spans="1:26">
      <c r="A44" s="62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1"/>
    </row>
    <row r="45" spans="1:26">
      <c r="A45" s="62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1"/>
    </row>
    <row r="46" spans="1:26">
      <c r="A46" s="62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1"/>
    </row>
    <row r="47" spans="1:26">
      <c r="A47" s="62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1"/>
    </row>
    <row r="48" spans="1:26">
      <c r="A48" s="62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1"/>
    </row>
    <row r="49" spans="1:26">
      <c r="A49" s="62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1"/>
    </row>
    <row r="50" spans="1:26">
      <c r="A50" s="62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1"/>
    </row>
    <row r="51" spans="1:26">
      <c r="A51" s="62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1"/>
    </row>
    <row r="52" spans="1:26">
      <c r="A52" s="62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1"/>
    </row>
    <row r="53" spans="1:26">
      <c r="A53" s="62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1"/>
    </row>
    <row r="54" spans="1:26">
      <c r="A54" s="62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1"/>
    </row>
    <row r="55" spans="1:26">
      <c r="A55" s="62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1"/>
    </row>
    <row r="56" spans="1:26">
      <c r="A56" s="62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1"/>
    </row>
    <row r="57" spans="1:26">
      <c r="A57" s="62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1"/>
    </row>
    <row r="58" spans="1:26">
      <c r="A58" s="62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1"/>
    </row>
    <row r="59" spans="1:26">
      <c r="A59" s="62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1"/>
    </row>
    <row r="60" spans="1:26">
      <c r="A60" s="62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1"/>
    </row>
    <row r="61" spans="1:26">
      <c r="A61" s="62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1"/>
    </row>
    <row r="62" spans="1:26">
      <c r="A62" s="62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1"/>
    </row>
    <row r="63" spans="1:26">
      <c r="A63" s="62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1"/>
    </row>
    <row r="64" spans="1:26">
      <c r="A64" s="62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1"/>
    </row>
    <row r="65" spans="1:26">
      <c r="A65" s="62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1"/>
    </row>
    <row r="66" spans="1:26">
      <c r="A66" s="62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1"/>
    </row>
    <row r="67" spans="1:26">
      <c r="A67" s="62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1"/>
    </row>
    <row r="68" spans="1:26">
      <c r="A68" s="62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1"/>
    </row>
    <row r="69" spans="1:26">
      <c r="A69" s="62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1"/>
    </row>
    <row r="70" spans="1:26">
      <c r="A70" s="62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1"/>
    </row>
    <row r="71" spans="1:26">
      <c r="A71" s="62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1"/>
    </row>
    <row r="72" spans="1:26">
      <c r="A72" s="62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1"/>
    </row>
    <row r="73" spans="1:26">
      <c r="A73" s="62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1"/>
    </row>
    <row r="74" spans="1:26">
      <c r="A74" s="62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1"/>
    </row>
    <row r="75" spans="1:26">
      <c r="A75" s="62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1"/>
    </row>
    <row r="76" spans="1:26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1"/>
    </row>
    <row r="77" spans="1:26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1"/>
    </row>
    <row r="78" spans="1:26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1"/>
    </row>
    <row r="79" spans="1:26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1"/>
    </row>
    <row r="80" spans="1:26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1"/>
    </row>
    <row r="81" spans="1:26">
      <c r="A81" s="6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1"/>
    </row>
    <row r="82" spans="1:26">
      <c r="A82" s="6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1"/>
    </row>
    <row r="83" spans="1:26">
      <c r="A83" s="6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1"/>
    </row>
    <row r="84" spans="1:26">
      <c r="A84" s="62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1"/>
    </row>
    <row r="85" spans="1:26">
      <c r="A85" s="62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1"/>
    </row>
    <row r="86" spans="1:26">
      <c r="A86" s="62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1"/>
    </row>
    <row r="87" spans="1:26">
      <c r="A87" s="62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1"/>
    </row>
    <row r="88" spans="1:26">
      <c r="A88" s="62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1"/>
    </row>
    <row r="89" spans="1:26">
      <c r="A89" s="62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1"/>
    </row>
    <row r="90" spans="1:26">
      <c r="A90" s="62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1"/>
    </row>
    <row r="91" spans="1:26">
      <c r="A91" s="62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1"/>
    </row>
    <row r="92" spans="1:26">
      <c r="A92" s="62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1"/>
    </row>
    <row r="93" spans="1:26">
      <c r="A93" s="62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1"/>
    </row>
    <row r="94" spans="1:26">
      <c r="A94" s="62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1"/>
    </row>
    <row r="95" spans="1:26">
      <c r="A95" s="62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1"/>
    </row>
    <row r="96" spans="1:26">
      <c r="A96" s="62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1"/>
    </row>
    <row r="97" spans="1:26">
      <c r="A97" s="62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1"/>
    </row>
    <row r="98" spans="1:26">
      <c r="A98" s="62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1"/>
    </row>
    <row r="99" spans="1:26">
      <c r="A99" s="62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1"/>
    </row>
    <row r="100" spans="1:26">
      <c r="A100" s="62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1"/>
    </row>
    <row r="101" spans="1:26">
      <c r="A101" s="62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1"/>
    </row>
    <row r="102" spans="1:26">
      <c r="A102" s="62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1"/>
    </row>
    <row r="103" spans="1:26">
      <c r="A103" s="62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1"/>
    </row>
    <row r="104" spans="1:26">
      <c r="A104" s="62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1"/>
    </row>
    <row r="105" spans="1:26">
      <c r="A105" s="62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1"/>
    </row>
    <row r="106" spans="1:26">
      <c r="A106" s="62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1"/>
    </row>
    <row r="107" spans="1:26">
      <c r="A107" s="62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1"/>
    </row>
    <row r="108" spans="1:26">
      <c r="A108" s="62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1"/>
    </row>
    <row r="109" spans="1:26">
      <c r="A109" s="62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1"/>
    </row>
    <row r="110" spans="1:26">
      <c r="A110" s="62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1"/>
    </row>
    <row r="111" spans="1:26">
      <c r="A111" s="62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1"/>
    </row>
    <row r="112" spans="1:26">
      <c r="A112" s="62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1"/>
    </row>
    <row r="113" spans="1:26">
      <c r="A113" s="62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1"/>
    </row>
    <row r="114" spans="1:26">
      <c r="A114" s="62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1"/>
    </row>
    <row r="115" spans="1:26">
      <c r="A115" s="62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1"/>
    </row>
    <row r="116" spans="1:26">
      <c r="A116" s="62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1"/>
    </row>
    <row r="117" spans="1:26">
      <c r="A117" s="62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1"/>
    </row>
    <row r="118" spans="1:26">
      <c r="A118" s="62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1"/>
    </row>
    <row r="119" spans="1:26">
      <c r="A119" s="62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1"/>
    </row>
    <row r="120" spans="1:26">
      <c r="A120" s="62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1"/>
    </row>
    <row r="121" spans="1:26">
      <c r="A121" s="62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1"/>
    </row>
    <row r="122" spans="1:26">
      <c r="A122" s="62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1"/>
    </row>
    <row r="123" spans="1:26">
      <c r="A123" s="62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1"/>
    </row>
    <row r="124" spans="1:26">
      <c r="A124" s="62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1"/>
    </row>
    <row r="125" spans="1:26">
      <c r="A125" s="62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1"/>
    </row>
    <row r="126" spans="1:26">
      <c r="A126" s="62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1"/>
    </row>
    <row r="127" spans="1:26">
      <c r="A127" s="62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1"/>
    </row>
    <row r="128" spans="1:26">
      <c r="A128" s="62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1"/>
    </row>
    <row r="129" spans="1:26">
      <c r="A129" s="62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1"/>
    </row>
    <row r="130" spans="1:26">
      <c r="A130" s="62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1"/>
    </row>
    <row r="131" spans="1:26">
      <c r="A131" s="62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1"/>
    </row>
    <row r="132" spans="1:26">
      <c r="A132" s="62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1"/>
    </row>
    <row r="133" spans="1:26">
      <c r="A133" s="62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1"/>
    </row>
    <row r="134" spans="1:26">
      <c r="A134" s="62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1"/>
    </row>
    <row r="135" spans="1:26">
      <c r="A135" s="62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1"/>
    </row>
    <row r="136" spans="1:26">
      <c r="A136" s="62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1"/>
    </row>
    <row r="137" spans="1:26">
      <c r="A137" s="62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1"/>
    </row>
    <row r="138" spans="1:26">
      <c r="A138" s="62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1"/>
    </row>
    <row r="139" spans="1:26">
      <c r="A139" s="62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1"/>
    </row>
    <row r="140" spans="1:26">
      <c r="A140" s="62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1"/>
    </row>
    <row r="141" spans="1:26">
      <c r="A141" s="62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1"/>
    </row>
    <row r="142" spans="1:26">
      <c r="A142" s="62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1"/>
    </row>
    <row r="143" spans="1:26">
      <c r="A143" s="62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1"/>
    </row>
    <row r="144" spans="1:26">
      <c r="A144" s="62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1"/>
    </row>
    <row r="145" spans="1:26">
      <c r="A145" s="62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1"/>
    </row>
    <row r="146" spans="1:26">
      <c r="A146" s="62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1"/>
    </row>
    <row r="147" spans="1:26">
      <c r="A147" s="62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1"/>
    </row>
    <row r="148" spans="1:26">
      <c r="A148" s="62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1"/>
    </row>
    <row r="149" spans="1:26">
      <c r="A149" s="62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1"/>
    </row>
    <row r="150" spans="1:26">
      <c r="A150" s="62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1"/>
    </row>
    <row r="151" spans="1:26">
      <c r="A151" s="62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1"/>
    </row>
    <row r="152" spans="1:26">
      <c r="A152" s="62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1"/>
    </row>
    <row r="153" spans="1:26">
      <c r="A153" s="62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1"/>
    </row>
    <row r="154" spans="1:26">
      <c r="A154" s="62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1"/>
    </row>
    <row r="155" spans="1:26">
      <c r="A155" s="62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1"/>
    </row>
    <row r="156" spans="1:26">
      <c r="A156" s="62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1"/>
    </row>
    <row r="157" spans="1:26">
      <c r="A157" s="62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1"/>
    </row>
    <row r="158" spans="1:26">
      <c r="A158" s="62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1"/>
    </row>
    <row r="159" spans="1:26">
      <c r="A159" s="62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1"/>
    </row>
    <row r="160" spans="1:26">
      <c r="A160" s="62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1"/>
    </row>
    <row r="161" spans="1:26">
      <c r="A161" s="62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1"/>
    </row>
    <row r="162" spans="1:26">
      <c r="A162" s="62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1"/>
    </row>
    <row r="163" spans="1:26">
      <c r="A163" s="62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1"/>
    </row>
    <row r="164" spans="1:26">
      <c r="A164" s="62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1"/>
    </row>
    <row r="165" spans="1:26">
      <c r="A165" s="62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1"/>
    </row>
    <row r="166" spans="1:26">
      <c r="A166" s="62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1"/>
    </row>
    <row r="167" spans="1:26">
      <c r="A167" s="62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1"/>
    </row>
    <row r="168" spans="1:26">
      <c r="A168" s="62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1"/>
    </row>
    <row r="169" spans="1:26">
      <c r="A169" s="62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1"/>
    </row>
    <row r="170" spans="1:26">
      <c r="A170" s="62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1"/>
    </row>
    <row r="171" spans="1:26">
      <c r="A171" s="62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1"/>
    </row>
    <row r="172" spans="1:26">
      <c r="A172" s="62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1"/>
    </row>
    <row r="173" spans="1:26">
      <c r="A173" s="62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1"/>
    </row>
    <row r="174" spans="1:26">
      <c r="A174" s="62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1"/>
    </row>
    <row r="175" spans="1:26">
      <c r="A175" s="62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1"/>
    </row>
    <row r="176" spans="1:26">
      <c r="A176" s="62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1"/>
    </row>
    <row r="177" spans="1:26">
      <c r="A177" s="62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1"/>
    </row>
    <row r="178" spans="1:26">
      <c r="A178" s="62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1"/>
    </row>
    <row r="179" spans="1:26">
      <c r="A179" s="62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1"/>
    </row>
    <row r="180" spans="1:26">
      <c r="A180" s="62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1"/>
    </row>
    <row r="181" spans="1:26">
      <c r="A181" s="62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1"/>
    </row>
    <row r="182" spans="1:26">
      <c r="A182" s="62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1"/>
    </row>
    <row r="183" spans="1:26">
      <c r="A183" s="62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1"/>
    </row>
    <row r="184" spans="1:26">
      <c r="A184" s="62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1"/>
    </row>
    <row r="185" spans="1:26">
      <c r="A185" s="62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1"/>
    </row>
    <row r="186" spans="1:26">
      <c r="A186" s="62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1"/>
    </row>
    <row r="187" spans="1:26">
      <c r="A187" s="62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1"/>
    </row>
    <row r="188" spans="1:26">
      <c r="A188" s="62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1"/>
    </row>
    <row r="189" spans="1:26">
      <c r="A189" s="62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1"/>
    </row>
    <row r="190" spans="1:26">
      <c r="A190" s="62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1"/>
    </row>
    <row r="191" spans="1:26">
      <c r="A191" s="62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1"/>
    </row>
    <row r="192" spans="1:26">
      <c r="A192" s="62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1"/>
    </row>
    <row r="193" spans="1:26">
      <c r="A193" s="62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1"/>
    </row>
    <row r="194" spans="1:26">
      <c r="A194" s="62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1"/>
    </row>
    <row r="195" spans="1:26">
      <c r="A195" s="62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1"/>
    </row>
    <row r="196" spans="1:26">
      <c r="A196" s="62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1"/>
    </row>
    <row r="197" spans="1:26">
      <c r="A197" s="62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1"/>
    </row>
    <row r="198" spans="1:26">
      <c r="A198" s="62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1"/>
    </row>
    <row r="199" spans="1:26">
      <c r="A199" s="62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1"/>
    </row>
    <row r="200" spans="1:26">
      <c r="A200" s="62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1"/>
    </row>
    <row r="201" spans="1:26">
      <c r="A201" s="62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1"/>
    </row>
    <row r="202" spans="1:26">
      <c r="A202" s="62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1"/>
    </row>
    <row r="203" spans="1:26">
      <c r="A203" s="62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1"/>
    </row>
    <row r="204" spans="1:26">
      <c r="A204" s="62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1"/>
    </row>
    <row r="205" spans="1:26">
      <c r="A205" s="62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1"/>
    </row>
    <row r="206" spans="1:26">
      <c r="A206" s="62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1"/>
    </row>
    <row r="207" spans="1:26">
      <c r="A207" s="62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1"/>
    </row>
    <row r="208" spans="1:26">
      <c r="A208" s="62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1"/>
    </row>
    <row r="209" spans="1:26">
      <c r="A209" s="62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1"/>
    </row>
    <row r="210" spans="1:26">
      <c r="A210" s="62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1"/>
    </row>
    <row r="211" spans="1:26">
      <c r="A211" s="62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1"/>
    </row>
    <row r="212" spans="1:26">
      <c r="A212" s="62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1"/>
    </row>
    <row r="213" spans="1:26">
      <c r="A213" s="62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1"/>
    </row>
    <row r="214" spans="1:26">
      <c r="A214" s="62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1"/>
    </row>
    <row r="215" spans="1:26">
      <c r="A215" s="62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1"/>
    </row>
    <row r="216" spans="1:26">
      <c r="A216" s="62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1"/>
    </row>
    <row r="217" spans="1:26">
      <c r="A217" s="62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1"/>
    </row>
    <row r="218" spans="1:26">
      <c r="A218" s="62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1"/>
    </row>
    <row r="219" spans="1:26">
      <c r="A219" s="62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1"/>
    </row>
    <row r="220" spans="1:26">
      <c r="A220" s="62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1"/>
    </row>
    <row r="221" spans="1:26">
      <c r="A221" s="62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1"/>
    </row>
    <row r="222" spans="1:26">
      <c r="A222" s="62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1"/>
    </row>
    <row r="223" spans="1:26">
      <c r="A223" s="62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1"/>
    </row>
    <row r="224" spans="1:26">
      <c r="A224" s="62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1"/>
    </row>
    <row r="225" spans="1:26">
      <c r="A225" s="62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1"/>
    </row>
    <row r="226" spans="1:26">
      <c r="A226" s="62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1"/>
    </row>
    <row r="227" spans="1:26">
      <c r="A227" s="62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1"/>
    </row>
    <row r="228" spans="1:26">
      <c r="A228" s="62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1"/>
    </row>
    <row r="229" spans="1:26">
      <c r="A229" s="62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1"/>
    </row>
    <row r="230" spans="1:26">
      <c r="A230" s="62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1"/>
    </row>
    <row r="231" spans="1:26">
      <c r="A231" s="62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1"/>
    </row>
    <row r="232" spans="1:26">
      <c r="A232" s="62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1"/>
    </row>
    <row r="233" spans="1:26">
      <c r="A233" s="62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1"/>
    </row>
    <row r="234" spans="1:26">
      <c r="A234" s="62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1"/>
    </row>
    <row r="235" spans="1:26">
      <c r="A235" s="62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1"/>
    </row>
    <row r="236" spans="1:26">
      <c r="A236" s="62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1"/>
    </row>
    <row r="237" spans="1:26">
      <c r="A237" s="62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1"/>
    </row>
    <row r="238" spans="1:26">
      <c r="A238" s="62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1"/>
    </row>
    <row r="239" spans="1:26">
      <c r="A239" s="62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1"/>
    </row>
    <row r="240" spans="1:26">
      <c r="A240" s="62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1"/>
    </row>
    <row r="241" spans="1:26">
      <c r="A241" s="62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1"/>
    </row>
    <row r="242" spans="1:26">
      <c r="A242" s="62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1"/>
    </row>
    <row r="243" spans="1:26">
      <c r="A243" s="62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1"/>
    </row>
    <row r="244" spans="1:26">
      <c r="A244" s="62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1"/>
    </row>
    <row r="245" spans="1:26">
      <c r="A245" s="62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1"/>
    </row>
    <row r="246" spans="1:26">
      <c r="A246" s="62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1"/>
    </row>
    <row r="247" spans="1:26">
      <c r="A247" s="62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1"/>
    </row>
    <row r="248" spans="1:26">
      <c r="A248" s="62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1"/>
    </row>
    <row r="249" spans="1:26">
      <c r="A249" s="62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1"/>
    </row>
    <row r="250" spans="1:26">
      <c r="A250" s="62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1"/>
    </row>
    <row r="251" spans="1:26">
      <c r="A251" s="62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1"/>
    </row>
    <row r="252" spans="1:26">
      <c r="A252" s="62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1"/>
    </row>
    <row r="253" spans="1:26">
      <c r="A253" s="62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1"/>
    </row>
    <row r="254" spans="1:26">
      <c r="A254" s="62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1"/>
    </row>
    <row r="255" spans="1:26">
      <c r="A255" s="62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1"/>
    </row>
    <row r="256" spans="1:26">
      <c r="A256" s="62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1"/>
    </row>
    <row r="257" spans="1:26">
      <c r="A257" s="62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1"/>
    </row>
    <row r="258" spans="1:26">
      <c r="A258" s="62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1"/>
    </row>
    <row r="259" spans="1:26">
      <c r="A259" s="62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1"/>
    </row>
    <row r="260" spans="1:26">
      <c r="A260" s="62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1"/>
    </row>
    <row r="261" spans="1:26">
      <c r="A261" s="62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1"/>
    </row>
    <row r="262" spans="1:26">
      <c r="A262" s="62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1"/>
    </row>
    <row r="263" spans="1:26">
      <c r="A263" s="62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1"/>
    </row>
    <row r="264" spans="1:26">
      <c r="A264" s="62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1"/>
    </row>
    <row r="265" spans="1:26">
      <c r="A265" s="62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1"/>
    </row>
    <row r="266" spans="1:26">
      <c r="A266" s="62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1"/>
    </row>
    <row r="267" spans="1:26">
      <c r="A267" s="62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1"/>
    </row>
    <row r="268" spans="1:26">
      <c r="A268" s="62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1"/>
    </row>
    <row r="269" spans="1:26">
      <c r="A269" s="62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1"/>
    </row>
    <row r="270" spans="1:26">
      <c r="A270" s="62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1"/>
    </row>
    <row r="271" spans="1:26">
      <c r="A271" s="62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1"/>
    </row>
    <row r="272" spans="1:26">
      <c r="A272" s="62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1"/>
    </row>
    <row r="273" spans="1:26">
      <c r="A273" s="62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1"/>
    </row>
    <row r="274" spans="1:26">
      <c r="A274" s="62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1"/>
    </row>
    <row r="275" spans="1:26">
      <c r="A275" s="62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1"/>
    </row>
    <row r="276" spans="1:26">
      <c r="A276" s="62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1"/>
    </row>
    <row r="277" spans="1:26">
      <c r="A277" s="62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1"/>
    </row>
    <row r="278" spans="1:26">
      <c r="A278" s="62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1"/>
    </row>
    <row r="279" spans="1:26">
      <c r="A279" s="62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1"/>
    </row>
    <row r="280" spans="1:26">
      <c r="A280" s="62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1"/>
    </row>
    <row r="281" spans="1:26">
      <c r="A281" s="62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1"/>
    </row>
    <row r="282" spans="1:26">
      <c r="A282" s="62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1"/>
    </row>
    <row r="283" spans="1:26">
      <c r="A283" s="62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1"/>
    </row>
    <row r="284" spans="1:26">
      <c r="A284" s="62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1"/>
    </row>
    <row r="285" spans="1:26">
      <c r="A285" s="62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1"/>
    </row>
    <row r="286" spans="1:26">
      <c r="A286" s="62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1"/>
    </row>
    <row r="287" spans="1:26">
      <c r="A287" s="62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1"/>
    </row>
    <row r="288" spans="1:26">
      <c r="A288" s="62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1"/>
    </row>
    <row r="289" spans="1:26">
      <c r="A289" s="62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1"/>
    </row>
    <row r="290" spans="1:26">
      <c r="A290" s="62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1"/>
    </row>
    <row r="291" spans="1:26">
      <c r="A291" s="62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1"/>
    </row>
    <row r="292" spans="1:26">
      <c r="A292" s="62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1"/>
    </row>
    <row r="293" spans="1:26">
      <c r="A293" s="62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1"/>
    </row>
    <row r="294" spans="1:26">
      <c r="A294" s="62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1"/>
    </row>
    <row r="295" spans="1:26">
      <c r="A295" s="62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1"/>
    </row>
    <row r="296" spans="1:26">
      <c r="A296" s="62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1"/>
    </row>
    <row r="297" spans="1:26">
      <c r="A297" s="62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1"/>
    </row>
    <row r="298" spans="1:26">
      <c r="A298" s="62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1"/>
    </row>
    <row r="299" spans="1:26">
      <c r="A299" s="62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1"/>
    </row>
    <row r="300" spans="1:26">
      <c r="A300" s="62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1"/>
    </row>
    <row r="301" spans="1:26">
      <c r="A301" s="62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1"/>
    </row>
    <row r="302" spans="1:26">
      <c r="A302" s="62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1"/>
    </row>
    <row r="303" spans="1:26">
      <c r="A303" s="62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1"/>
    </row>
    <row r="304" spans="1:26">
      <c r="A304" s="62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1"/>
    </row>
    <row r="305" spans="1:26">
      <c r="A305" s="62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1"/>
    </row>
    <row r="306" spans="1:26">
      <c r="A306" s="62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1"/>
    </row>
    <row r="307" spans="1:26">
      <c r="A307" s="62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1"/>
    </row>
    <row r="308" spans="1:26">
      <c r="A308" s="62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1"/>
    </row>
    <row r="309" spans="1:26">
      <c r="A309" s="62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1"/>
    </row>
    <row r="310" spans="1:26">
      <c r="A310" s="62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1"/>
    </row>
    <row r="311" spans="1:26">
      <c r="A311" s="62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1"/>
    </row>
    <row r="312" spans="1:26">
      <c r="A312" s="62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1"/>
    </row>
    <row r="313" spans="1:26">
      <c r="A313" s="62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1"/>
    </row>
    <row r="314" spans="1:26">
      <c r="A314" s="62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1"/>
    </row>
    <row r="315" spans="1:26">
      <c r="A315" s="62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1"/>
    </row>
    <row r="316" spans="1:26">
      <c r="A316" s="62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1"/>
    </row>
    <row r="317" spans="1:26">
      <c r="A317" s="62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1"/>
    </row>
    <row r="318" spans="1:26">
      <c r="A318" s="62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1"/>
    </row>
    <row r="319" spans="1:26">
      <c r="A319" s="62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1"/>
    </row>
    <row r="320" spans="1:26">
      <c r="A320" s="62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1"/>
    </row>
    <row r="321" spans="1:26">
      <c r="A321" s="62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1"/>
    </row>
    <row r="322" spans="1:26">
      <c r="A322" s="62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1"/>
    </row>
    <row r="323" spans="1:26">
      <c r="A323" s="62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1"/>
    </row>
    <row r="324" spans="1:26">
      <c r="A324" s="62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1"/>
    </row>
    <row r="325" spans="1:26">
      <c r="A325" s="62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1"/>
    </row>
    <row r="326" spans="1:26">
      <c r="A326" s="62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1"/>
    </row>
    <row r="327" spans="1:26">
      <c r="A327" s="62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1"/>
    </row>
    <row r="328" spans="1:26">
      <c r="A328" s="62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1"/>
    </row>
    <row r="329" spans="1:26">
      <c r="A329" s="62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1"/>
    </row>
    <row r="330" spans="1:26">
      <c r="A330" s="62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1"/>
    </row>
    <row r="331" spans="1:26">
      <c r="A331" s="62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1"/>
    </row>
    <row r="332" spans="1:26">
      <c r="A332" s="62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1"/>
    </row>
    <row r="333" spans="1:26">
      <c r="A333" s="62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1"/>
    </row>
    <row r="334" spans="1:26">
      <c r="A334" s="62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1"/>
    </row>
    <row r="335" spans="1:26">
      <c r="A335" s="62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1"/>
    </row>
    <row r="336" spans="1:26">
      <c r="A336" s="62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1"/>
    </row>
    <row r="337" spans="1:26">
      <c r="A337" s="62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1"/>
    </row>
    <row r="338" spans="1:26">
      <c r="A338" s="62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1"/>
    </row>
    <row r="339" spans="1:26">
      <c r="A339" s="62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1"/>
    </row>
    <row r="340" spans="1:26">
      <c r="A340" s="62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1"/>
    </row>
    <row r="341" spans="1:26">
      <c r="A341" s="62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1"/>
    </row>
    <row r="342" spans="1:26">
      <c r="A342" s="62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1"/>
    </row>
    <row r="343" spans="1:26">
      <c r="A343" s="62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1"/>
    </row>
    <row r="344" spans="1:26">
      <c r="A344" s="62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1"/>
    </row>
    <row r="345" spans="1:26">
      <c r="A345" s="62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1"/>
    </row>
    <row r="346" spans="1:26">
      <c r="A346" s="62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1"/>
    </row>
    <row r="347" spans="1:26">
      <c r="A347" s="62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1"/>
    </row>
    <row r="348" spans="1:26">
      <c r="A348" s="62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1"/>
    </row>
    <row r="349" spans="1:26">
      <c r="A349" s="62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1"/>
    </row>
    <row r="350" spans="1:26">
      <c r="A350" s="62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1"/>
    </row>
    <row r="351" spans="1:26">
      <c r="A351" s="62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1"/>
    </row>
    <row r="352" spans="1:26">
      <c r="A352" s="62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1"/>
    </row>
    <row r="353" spans="1:26">
      <c r="A353" s="62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1"/>
    </row>
    <row r="354" spans="1:26">
      <c r="A354" s="62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1"/>
    </row>
    <row r="355" spans="1:26">
      <c r="A355" s="62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1"/>
    </row>
    <row r="356" spans="1:26">
      <c r="A356" s="62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1"/>
    </row>
    <row r="357" spans="1:26">
      <c r="A357" s="62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1"/>
    </row>
    <row r="358" spans="1:26">
      <c r="A358" s="62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1"/>
    </row>
    <row r="359" spans="1:26">
      <c r="A359" s="62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1"/>
    </row>
    <row r="360" spans="1:26">
      <c r="A360" s="62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1"/>
    </row>
    <row r="361" spans="1:26">
      <c r="A361" s="62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1"/>
    </row>
    <row r="362" spans="1:26">
      <c r="A362" s="62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1"/>
    </row>
    <row r="363" spans="1:26">
      <c r="A363" s="62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1"/>
    </row>
    <row r="364" spans="1:26">
      <c r="A364" s="62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1"/>
    </row>
    <row r="365" spans="1:26">
      <c r="A365" s="62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1"/>
    </row>
    <row r="366" spans="1:26">
      <c r="A366" s="62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1"/>
    </row>
    <row r="367" spans="1:26">
      <c r="A367" s="62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1"/>
    </row>
    <row r="368" spans="1:26">
      <c r="A368" s="62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1"/>
    </row>
    <row r="369" spans="1:26">
      <c r="A369" s="62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1"/>
    </row>
    <row r="370" spans="1:26">
      <c r="A370" s="62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1"/>
    </row>
    <row r="371" spans="1:26">
      <c r="A371" s="62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1"/>
    </row>
    <row r="372" spans="1:26">
      <c r="A372" s="62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1"/>
    </row>
    <row r="373" spans="1:26">
      <c r="A373" s="62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1"/>
    </row>
    <row r="374" spans="1:26">
      <c r="A374" s="62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1"/>
    </row>
    <row r="375" spans="1:26">
      <c r="A375" s="62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1"/>
    </row>
    <row r="376" spans="1:26">
      <c r="A376" s="62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1"/>
    </row>
    <row r="377" spans="1:26">
      <c r="A377" s="62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1"/>
    </row>
    <row r="378" spans="1:26">
      <c r="A378" s="62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1"/>
    </row>
    <row r="379" spans="1:26">
      <c r="A379" s="62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1"/>
    </row>
    <row r="380" spans="1:26">
      <c r="A380" s="62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1"/>
    </row>
    <row r="381" spans="1:26">
      <c r="A381" s="62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1"/>
    </row>
    <row r="382" spans="1:26">
      <c r="A382" s="62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1"/>
    </row>
    <row r="383" spans="1:26">
      <c r="A383" s="62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1"/>
    </row>
    <row r="384" spans="1:26">
      <c r="A384" s="62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1"/>
    </row>
    <row r="385" spans="1:26">
      <c r="A385" s="62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1"/>
    </row>
    <row r="386" spans="1:26">
      <c r="A386" s="62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1"/>
    </row>
    <row r="387" spans="1:26">
      <c r="A387" s="62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1"/>
    </row>
    <row r="388" spans="1:26">
      <c r="A388" s="62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1"/>
    </row>
    <row r="389" spans="1:26">
      <c r="A389" s="62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1"/>
    </row>
    <row r="390" spans="1:26">
      <c r="A390" s="62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1"/>
    </row>
    <row r="391" spans="1:26">
      <c r="A391" s="62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1"/>
    </row>
    <row r="392" spans="1:26">
      <c r="A392" s="62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1"/>
    </row>
    <row r="393" spans="1:26">
      <c r="A393" s="62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1"/>
    </row>
    <row r="394" spans="1:26">
      <c r="A394" s="62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1"/>
    </row>
    <row r="395" spans="1:26">
      <c r="A395" s="62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1"/>
    </row>
    <row r="396" spans="1:26">
      <c r="A396" s="62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1"/>
    </row>
    <row r="397" spans="1:26">
      <c r="A397" s="62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1"/>
    </row>
    <row r="398" spans="1:26">
      <c r="A398" s="62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1"/>
    </row>
    <row r="399" spans="1:26">
      <c r="A399" s="62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1"/>
    </row>
    <row r="400" spans="1:26">
      <c r="A400" s="62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1"/>
    </row>
    <row r="401" spans="1:26">
      <c r="A401" s="62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1"/>
    </row>
    <row r="402" spans="1:26">
      <c r="A402" s="62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1"/>
    </row>
    <row r="403" spans="1:26">
      <c r="A403" s="62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1"/>
    </row>
    <row r="404" spans="1:26">
      <c r="A404" s="62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1"/>
    </row>
    <row r="405" spans="1:26">
      <c r="A405" s="62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1"/>
    </row>
    <row r="406" spans="1:26">
      <c r="A406" s="62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1"/>
    </row>
    <row r="407" spans="1:26">
      <c r="A407" s="62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1"/>
    </row>
    <row r="408" spans="1:26">
      <c r="A408" s="62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1"/>
    </row>
    <row r="409" spans="1:26">
      <c r="A409" s="62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1"/>
    </row>
    <row r="410" spans="1:26">
      <c r="A410" s="62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1"/>
    </row>
    <row r="411" spans="1:26">
      <c r="A411" s="62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1"/>
    </row>
    <row r="412" spans="1:26">
      <c r="A412" s="62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1"/>
    </row>
    <row r="413" spans="1:26">
      <c r="A413" s="62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1"/>
    </row>
    <row r="414" spans="1:26">
      <c r="A414" s="62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1"/>
    </row>
    <row r="415" spans="1:26">
      <c r="A415" s="62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1"/>
    </row>
    <row r="416" spans="1:26">
      <c r="A416" s="62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1"/>
    </row>
    <row r="417" spans="1:26">
      <c r="A417" s="62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1"/>
    </row>
    <row r="418" spans="1:26">
      <c r="A418" s="62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1"/>
    </row>
    <row r="419" spans="1:26">
      <c r="A419" s="62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1"/>
    </row>
    <row r="420" spans="1:26">
      <c r="A420" s="62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1"/>
    </row>
    <row r="421" spans="1:26">
      <c r="A421" s="62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1"/>
    </row>
    <row r="422" spans="1:26">
      <c r="A422" s="62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1"/>
    </row>
    <row r="423" spans="1:26">
      <c r="A423" s="62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1"/>
    </row>
    <row r="424" spans="1:26">
      <c r="A424" s="62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1"/>
    </row>
    <row r="425" spans="1:26">
      <c r="A425" s="62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1"/>
    </row>
    <row r="426" spans="1:26">
      <c r="A426" s="62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1"/>
    </row>
    <row r="427" spans="1:26">
      <c r="A427" s="62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1"/>
    </row>
    <row r="428" spans="1:26">
      <c r="A428" s="62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1"/>
    </row>
    <row r="429" spans="1:26">
      <c r="A429" s="62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1"/>
    </row>
    <row r="430" spans="1:26">
      <c r="A430" s="62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1"/>
    </row>
    <row r="431" spans="1:26">
      <c r="A431" s="62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1"/>
    </row>
    <row r="432" spans="1:26">
      <c r="A432" s="62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1"/>
    </row>
    <row r="433" spans="1:26">
      <c r="A433" s="62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1"/>
    </row>
    <row r="434" spans="1:26">
      <c r="A434" s="62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1"/>
    </row>
    <row r="435" spans="1:26">
      <c r="A435" s="62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1"/>
    </row>
    <row r="436" spans="1:26">
      <c r="A436" s="62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1"/>
    </row>
    <row r="437" spans="1:26">
      <c r="A437" s="62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1"/>
    </row>
    <row r="438" spans="1:26">
      <c r="A438" s="62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1"/>
    </row>
    <row r="439" spans="1:26">
      <c r="A439" s="62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1"/>
    </row>
    <row r="440" spans="1:26">
      <c r="A440" s="62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1"/>
    </row>
    <row r="441" spans="1:26">
      <c r="A441" s="62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1"/>
    </row>
    <row r="442" spans="1:26">
      <c r="A442" s="62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1"/>
    </row>
    <row r="443" spans="1:26">
      <c r="A443" s="62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1"/>
    </row>
    <row r="444" spans="1:26">
      <c r="A444" s="62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1"/>
    </row>
    <row r="445" spans="1:26">
      <c r="A445" s="62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1"/>
    </row>
    <row r="446" spans="1:26">
      <c r="A446" s="62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1"/>
    </row>
    <row r="447" spans="1:26">
      <c r="A447" s="62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1"/>
    </row>
    <row r="448" spans="1:26">
      <c r="A448" s="62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1"/>
    </row>
    <row r="449" spans="1:26">
      <c r="A449" s="62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1"/>
    </row>
    <row r="450" spans="1:26">
      <c r="A450" s="62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1"/>
    </row>
    <row r="451" spans="1:26">
      <c r="A451" s="62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1"/>
    </row>
    <row r="452" spans="1:26">
      <c r="A452" s="62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1"/>
    </row>
    <row r="453" spans="1:26">
      <c r="A453" s="62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1"/>
    </row>
    <row r="454" spans="1:26">
      <c r="A454" s="62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1"/>
    </row>
    <row r="455" spans="1:26">
      <c r="A455" s="62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1"/>
    </row>
    <row r="456" spans="1:26">
      <c r="A456" s="62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1"/>
    </row>
    <row r="457" spans="1:26">
      <c r="A457" s="62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1"/>
    </row>
    <row r="458" spans="1:26">
      <c r="A458" s="62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1"/>
    </row>
    <row r="459" spans="1:26">
      <c r="A459" s="62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1"/>
    </row>
    <row r="460" spans="1:26">
      <c r="A460" s="62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1"/>
    </row>
    <row r="461" spans="1:26">
      <c r="A461" s="62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1"/>
    </row>
    <row r="462" spans="1:26">
      <c r="A462" s="62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1"/>
    </row>
    <row r="463" spans="1:26">
      <c r="A463" s="62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1"/>
    </row>
    <row r="464" spans="1:26">
      <c r="A464" s="62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1"/>
    </row>
    <row r="465" spans="1:26">
      <c r="A465" s="62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1"/>
    </row>
    <row r="466" spans="1:26">
      <c r="A466" s="62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1"/>
    </row>
    <row r="467" spans="1:26">
      <c r="A467" s="62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1"/>
    </row>
    <row r="468" spans="1:26">
      <c r="A468" s="62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1"/>
    </row>
    <row r="469" spans="1:26">
      <c r="A469" s="62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1"/>
    </row>
    <row r="470" spans="1:26">
      <c r="A470" s="62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1"/>
    </row>
    <row r="471" spans="1:26">
      <c r="A471" s="62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1"/>
    </row>
    <row r="472" spans="1:26">
      <c r="A472" s="62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1"/>
    </row>
    <row r="473" spans="1:26">
      <c r="A473" s="62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1"/>
    </row>
    <row r="474" spans="1:26">
      <c r="A474" s="62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1"/>
    </row>
    <row r="475" spans="1:26">
      <c r="A475" s="62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1"/>
    </row>
    <row r="476" spans="1:26">
      <c r="A476" s="62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1"/>
    </row>
    <row r="477" spans="1:26">
      <c r="A477" s="62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1"/>
    </row>
    <row r="478" spans="1:26">
      <c r="A478" s="62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1"/>
    </row>
    <row r="479" spans="1:26">
      <c r="A479" s="62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1"/>
    </row>
    <row r="480" spans="1:26">
      <c r="A480" s="62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1"/>
    </row>
    <row r="481" spans="1:26">
      <c r="A481" s="62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1"/>
    </row>
    <row r="482" spans="1:26">
      <c r="A482" s="62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1"/>
    </row>
    <row r="483" spans="1:26">
      <c r="A483" s="62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1"/>
    </row>
    <row r="484" spans="1:26">
      <c r="A484" s="62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1"/>
    </row>
    <row r="485" spans="1:26">
      <c r="A485" s="62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1"/>
    </row>
    <row r="486" spans="1:26">
      <c r="A486" s="62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1"/>
    </row>
    <row r="487" spans="1:26">
      <c r="A487" s="62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1"/>
    </row>
    <row r="488" spans="1:26">
      <c r="A488" s="62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1"/>
    </row>
    <row r="489" spans="1:26">
      <c r="A489" s="62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1"/>
    </row>
    <row r="490" spans="1:26">
      <c r="A490" s="62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1"/>
    </row>
    <row r="491" spans="1:26">
      <c r="A491" s="62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1"/>
    </row>
    <row r="492" spans="1:26">
      <c r="A492" s="62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1"/>
    </row>
    <row r="493" spans="1:26">
      <c r="A493" s="62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1"/>
    </row>
    <row r="494" spans="1:26">
      <c r="A494" s="62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1"/>
    </row>
    <row r="495" spans="1:26">
      <c r="A495" s="62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1"/>
    </row>
    <row r="496" spans="1:26">
      <c r="A496" s="62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1"/>
    </row>
    <row r="497" spans="1:26">
      <c r="A497" s="62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1"/>
    </row>
    <row r="498" spans="1:26">
      <c r="A498" s="62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1"/>
    </row>
    <row r="499" spans="1:26">
      <c r="A499" s="62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1"/>
    </row>
    <row r="500" spans="1:26">
      <c r="A500" s="62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1"/>
    </row>
    <row r="501" spans="1:26">
      <c r="A501" s="62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1"/>
    </row>
    <row r="502" spans="1:26">
      <c r="A502" s="62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1"/>
    </row>
    <row r="503" spans="1:26">
      <c r="A503" s="62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1"/>
    </row>
    <row r="504" spans="1:26">
      <c r="A504" s="62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1"/>
    </row>
    <row r="505" spans="1:26">
      <c r="A505" s="62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1"/>
    </row>
    <row r="506" spans="1:26">
      <c r="A506" s="62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1"/>
    </row>
    <row r="507" spans="1:26">
      <c r="A507" s="62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1"/>
    </row>
    <row r="508" spans="1:26">
      <c r="A508" s="62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1"/>
    </row>
    <row r="509" spans="1:26">
      <c r="A509" s="62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1"/>
    </row>
    <row r="510" spans="1:26">
      <c r="A510" s="62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1"/>
    </row>
    <row r="511" spans="1:26">
      <c r="A511" s="62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1"/>
    </row>
    <row r="512" spans="1:26">
      <c r="A512" s="62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1"/>
    </row>
    <row r="513" spans="1:26">
      <c r="A513" s="62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1"/>
    </row>
    <row r="514" spans="1:26">
      <c r="A514" s="62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1"/>
    </row>
    <row r="515" spans="1:26">
      <c r="A515" s="62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1"/>
    </row>
    <row r="516" spans="1:26">
      <c r="A516" s="62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1"/>
    </row>
    <row r="517" spans="1:26">
      <c r="A517" s="62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1"/>
    </row>
    <row r="518" spans="1:26">
      <c r="A518" s="62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1"/>
    </row>
    <row r="519" spans="1:26">
      <c r="A519" s="62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1"/>
    </row>
    <row r="520" spans="1:26">
      <c r="A520" s="62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1"/>
    </row>
    <row r="521" spans="1:26">
      <c r="A521" s="62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1"/>
    </row>
    <row r="522" spans="1:26">
      <c r="A522" s="62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1"/>
    </row>
    <row r="523" spans="1:26">
      <c r="A523" s="62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1"/>
    </row>
    <row r="524" spans="1:26">
      <c r="A524" s="62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1"/>
    </row>
    <row r="525" spans="1:26">
      <c r="A525" s="62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1"/>
    </row>
    <row r="526" spans="1:26">
      <c r="A526" s="62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1"/>
    </row>
    <row r="527" spans="1:26">
      <c r="A527" s="62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1"/>
    </row>
    <row r="528" spans="1:26">
      <c r="A528" s="62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1"/>
    </row>
    <row r="529" spans="1:26">
      <c r="A529" s="62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1"/>
    </row>
    <row r="530" spans="1:26">
      <c r="A530" s="62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1"/>
    </row>
    <row r="531" spans="1:26">
      <c r="A531" s="62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1"/>
    </row>
    <row r="532" spans="1:26">
      <c r="A532" s="62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1"/>
    </row>
    <row r="533" spans="1:26">
      <c r="A533" s="62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1"/>
    </row>
    <row r="534" spans="1:26">
      <c r="A534" s="62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1"/>
    </row>
    <row r="535" spans="1:26">
      <c r="A535" s="62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1"/>
    </row>
    <row r="536" spans="1:26">
      <c r="A536" s="62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1"/>
    </row>
    <row r="537" spans="1:26">
      <c r="A537" s="62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1"/>
    </row>
    <row r="538" spans="1:26">
      <c r="A538" s="62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1"/>
    </row>
    <row r="539" spans="1:26">
      <c r="A539" s="62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1"/>
    </row>
    <row r="540" spans="1:26">
      <c r="A540" s="62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1"/>
    </row>
    <row r="541" spans="1:26">
      <c r="A541" s="62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1"/>
    </row>
    <row r="542" spans="1:26">
      <c r="A542" s="62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1"/>
    </row>
    <row r="543" spans="1:26">
      <c r="A543" s="62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1"/>
    </row>
    <row r="544" spans="1:26">
      <c r="A544" s="62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1"/>
    </row>
    <row r="545" spans="1:26">
      <c r="A545" s="62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1"/>
    </row>
    <row r="546" spans="1:26">
      <c r="A546" s="62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1"/>
    </row>
    <row r="547" spans="1:26">
      <c r="A547" s="62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1"/>
    </row>
    <row r="548" spans="1:26">
      <c r="A548" s="62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1"/>
    </row>
    <row r="549" spans="1:26">
      <c r="A549" s="62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1"/>
    </row>
    <row r="550" spans="1:26">
      <c r="A550" s="62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1"/>
    </row>
    <row r="551" spans="1:26">
      <c r="A551" s="62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1"/>
    </row>
    <row r="552" spans="1:26">
      <c r="A552" s="62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1"/>
    </row>
    <row r="553" spans="1:26">
      <c r="A553" s="62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1"/>
    </row>
    <row r="554" spans="1:26">
      <c r="A554" s="62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1"/>
    </row>
    <row r="555" spans="1:26">
      <c r="A555" s="62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1"/>
    </row>
    <row r="556" spans="1:26">
      <c r="A556" s="62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1"/>
    </row>
    <row r="557" spans="1:26">
      <c r="A557" s="62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1"/>
    </row>
    <row r="558" spans="1:26">
      <c r="A558" s="62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1"/>
    </row>
    <row r="559" spans="1:26">
      <c r="A559" s="62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1"/>
    </row>
    <row r="560" spans="1:26">
      <c r="A560" s="62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1"/>
    </row>
    <row r="561" spans="1:26">
      <c r="A561" s="62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1"/>
    </row>
    <row r="562" spans="1:26">
      <c r="A562" s="62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1"/>
    </row>
    <row r="563" spans="1:26">
      <c r="A563" s="62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1"/>
    </row>
    <row r="564" spans="1:26">
      <c r="A564" s="62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1"/>
    </row>
    <row r="565" spans="1:26">
      <c r="A565" s="62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1"/>
    </row>
    <row r="566" spans="1:26">
      <c r="A566" s="62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1"/>
    </row>
    <row r="567" spans="1:26">
      <c r="A567" s="62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1"/>
    </row>
    <row r="568" spans="1:26">
      <c r="A568" s="62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1"/>
    </row>
    <row r="569" spans="1:26">
      <c r="A569" s="62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1"/>
    </row>
    <row r="570" spans="1:26">
      <c r="A570" s="62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1"/>
    </row>
    <row r="571" spans="1:26">
      <c r="A571" s="62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1"/>
    </row>
    <row r="572" spans="1:26">
      <c r="A572" s="62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1"/>
    </row>
    <row r="573" spans="1:26">
      <c r="A573" s="62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1"/>
    </row>
    <row r="574" spans="1:26">
      <c r="A574" s="62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1"/>
    </row>
    <row r="575" spans="1:26">
      <c r="A575" s="62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1"/>
    </row>
    <row r="576" spans="1:26">
      <c r="A576" s="62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1"/>
    </row>
    <row r="577" spans="1:26">
      <c r="A577" s="62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1"/>
    </row>
    <row r="578" spans="1:26">
      <c r="A578" s="62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1"/>
    </row>
    <row r="579" spans="1:26">
      <c r="A579" s="62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1"/>
    </row>
    <row r="580" spans="1:26">
      <c r="A580" s="62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1"/>
    </row>
    <row r="581" spans="1:26">
      <c r="A581" s="62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1"/>
    </row>
    <row r="582" spans="1:26">
      <c r="A582" s="62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1"/>
    </row>
    <row r="583" spans="1:26">
      <c r="A583" s="62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1"/>
    </row>
    <row r="584" spans="1:26">
      <c r="A584" s="62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1"/>
    </row>
    <row r="585" spans="1:26">
      <c r="A585" s="62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1"/>
    </row>
    <row r="586" spans="1:26">
      <c r="A586" s="62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1"/>
    </row>
    <row r="587" spans="1:26">
      <c r="A587" s="62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1"/>
    </row>
    <row r="588" spans="1:26">
      <c r="A588" s="62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1"/>
    </row>
    <row r="589" spans="1:26">
      <c r="A589" s="62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1"/>
    </row>
    <row r="590" spans="1:26">
      <c r="A590" s="62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1"/>
    </row>
    <row r="591" spans="1:26">
      <c r="A591" s="62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1"/>
    </row>
    <row r="592" spans="1:26">
      <c r="A592" s="62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1"/>
    </row>
    <row r="593" spans="1:26">
      <c r="A593" s="62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1"/>
    </row>
    <row r="594" spans="1:26">
      <c r="A594" s="62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1"/>
    </row>
    <row r="595" spans="1:26">
      <c r="A595" s="62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1"/>
    </row>
    <row r="596" spans="1:26">
      <c r="A596" s="62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1"/>
    </row>
    <row r="597" spans="1:26">
      <c r="A597" s="62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1"/>
    </row>
    <row r="598" spans="1:26">
      <c r="A598" s="62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1"/>
    </row>
    <row r="599" spans="1:26">
      <c r="A599" s="62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1"/>
    </row>
    <row r="600" spans="1:26">
      <c r="A600" s="62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1"/>
    </row>
    <row r="601" spans="1:26">
      <c r="A601" s="62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1"/>
    </row>
    <row r="602" spans="1:26">
      <c r="A602" s="62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1"/>
    </row>
    <row r="603" spans="1:26">
      <c r="A603" s="62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1"/>
    </row>
    <row r="604" spans="1:26">
      <c r="A604" s="62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1"/>
    </row>
    <row r="605" spans="1:26">
      <c r="A605" s="62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1"/>
    </row>
    <row r="606" spans="1:26">
      <c r="A606" s="62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1"/>
    </row>
    <row r="607" spans="1:26">
      <c r="A607" s="62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1"/>
    </row>
    <row r="608" spans="1:26">
      <c r="A608" s="62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1"/>
    </row>
    <row r="609" spans="1:26">
      <c r="A609" s="62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1"/>
    </row>
    <row r="610" spans="1:26">
      <c r="A610" s="62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1"/>
    </row>
    <row r="611" spans="1:26">
      <c r="A611" s="62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1"/>
    </row>
    <row r="612" spans="1:26">
      <c r="A612" s="62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1"/>
    </row>
    <row r="613" spans="1:26">
      <c r="A613" s="62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1"/>
    </row>
    <row r="614" spans="1:26">
      <c r="A614" s="62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1"/>
    </row>
    <row r="615" spans="1:26">
      <c r="A615" s="62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1"/>
    </row>
    <row r="616" spans="1:26">
      <c r="A616" s="62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1"/>
    </row>
    <row r="617" spans="1:26">
      <c r="A617" s="62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1"/>
    </row>
    <row r="618" spans="1:26">
      <c r="A618" s="62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1"/>
    </row>
    <row r="619" spans="1:26">
      <c r="A619" s="62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1"/>
    </row>
    <row r="620" spans="1:26">
      <c r="A620" s="62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1"/>
    </row>
    <row r="621" spans="1:26">
      <c r="A621" s="62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1"/>
    </row>
    <row r="622" spans="1:26">
      <c r="A622" s="62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1"/>
    </row>
    <row r="623" spans="1:26">
      <c r="A623" s="62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1"/>
    </row>
    <row r="624" spans="1:26">
      <c r="A624" s="62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1"/>
    </row>
    <row r="625" spans="1:26">
      <c r="A625" s="62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1"/>
    </row>
    <row r="626" spans="1:26">
      <c r="A626" s="62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1"/>
    </row>
    <row r="627" spans="1:26">
      <c r="A627" s="62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1"/>
    </row>
    <row r="628" spans="1:26">
      <c r="A628" s="62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1"/>
    </row>
    <row r="629" spans="1:26">
      <c r="A629" s="62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1"/>
    </row>
    <row r="630" spans="1:26">
      <c r="A630" s="62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1"/>
    </row>
    <row r="631" spans="1:26">
      <c r="A631" s="62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1"/>
    </row>
    <row r="632" spans="1:26">
      <c r="A632" s="62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1"/>
    </row>
    <row r="633" spans="1:26">
      <c r="A633" s="62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1"/>
    </row>
    <row r="634" spans="1:26">
      <c r="A634" s="62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1"/>
    </row>
    <row r="635" spans="1:26">
      <c r="A635" s="62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1"/>
    </row>
    <row r="636" spans="1:26">
      <c r="A636" s="62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1"/>
    </row>
    <row r="637" spans="1:26">
      <c r="A637" s="62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1"/>
    </row>
    <row r="638" spans="1:26">
      <c r="A638" s="62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1"/>
    </row>
    <row r="639" spans="1:26">
      <c r="A639" s="62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1"/>
    </row>
    <row r="640" spans="1:26">
      <c r="A640" s="62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1"/>
    </row>
    <row r="641" spans="1:26">
      <c r="A641" s="62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1"/>
    </row>
    <row r="642" spans="1:26">
      <c r="A642" s="62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1"/>
    </row>
    <row r="643" spans="1:26">
      <c r="A643" s="62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1"/>
    </row>
    <row r="644" spans="1:26">
      <c r="A644" s="62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1"/>
    </row>
    <row r="645" spans="1:26">
      <c r="A645" s="62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1"/>
    </row>
    <row r="646" spans="1:26">
      <c r="A646" s="62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1"/>
    </row>
    <row r="647" spans="1:26">
      <c r="A647" s="62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1"/>
    </row>
    <row r="648" spans="1:26">
      <c r="A648" s="62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1"/>
    </row>
    <row r="649" spans="1:26">
      <c r="A649" s="62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1"/>
    </row>
    <row r="650" spans="1:26">
      <c r="A650" s="62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1"/>
    </row>
    <row r="651" spans="1:26">
      <c r="A651" s="62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1"/>
    </row>
    <row r="652" spans="1:26">
      <c r="A652" s="62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1"/>
    </row>
    <row r="653" spans="1:26">
      <c r="A653" s="62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1"/>
    </row>
    <row r="654" spans="1:26">
      <c r="A654" s="62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1"/>
    </row>
    <row r="655" spans="1:26">
      <c r="A655" s="62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1"/>
    </row>
    <row r="656" spans="1:26">
      <c r="A656" s="62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1"/>
    </row>
    <row r="657" spans="1:26">
      <c r="A657" s="62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1"/>
    </row>
    <row r="658" spans="1:26">
      <c r="A658" s="62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1"/>
    </row>
    <row r="659" spans="1:26">
      <c r="A659" s="62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1"/>
    </row>
    <row r="660" spans="1:26">
      <c r="A660" s="62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1"/>
    </row>
    <row r="661" spans="1:26">
      <c r="A661" s="62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1"/>
    </row>
    <row r="662" spans="1:26">
      <c r="A662" s="62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1"/>
    </row>
    <row r="663" spans="1:26">
      <c r="A663" s="62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1"/>
    </row>
    <row r="664" spans="1:26">
      <c r="A664" s="62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1"/>
    </row>
    <row r="665" spans="1:26">
      <c r="A665" s="62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1"/>
    </row>
    <row r="666" spans="1:26">
      <c r="A666" s="62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1"/>
    </row>
    <row r="667" spans="1:26">
      <c r="A667" s="62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1"/>
    </row>
    <row r="668" spans="1:26">
      <c r="A668" s="62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1"/>
    </row>
    <row r="669" spans="1:26">
      <c r="A669" s="62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1"/>
    </row>
    <row r="670" spans="1:26">
      <c r="A670" s="62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1"/>
    </row>
    <row r="671" spans="1:26">
      <c r="A671" s="62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1"/>
    </row>
    <row r="672" spans="1:26">
      <c r="A672" s="62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1"/>
    </row>
    <row r="673" spans="1:26">
      <c r="A673" s="62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1"/>
    </row>
    <row r="674" spans="1:26">
      <c r="A674" s="62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1"/>
    </row>
    <row r="675" spans="1:26">
      <c r="A675" s="62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1"/>
    </row>
    <row r="676" spans="1:26">
      <c r="A676" s="62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1"/>
    </row>
    <row r="677" spans="1:26">
      <c r="A677" s="62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1"/>
    </row>
    <row r="678" spans="1:26">
      <c r="A678" s="62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1"/>
    </row>
    <row r="679" spans="1:26">
      <c r="A679" s="62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1"/>
    </row>
    <row r="680" spans="1:26">
      <c r="A680" s="62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1"/>
    </row>
    <row r="681" spans="1:26">
      <c r="A681" s="62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1"/>
    </row>
    <row r="682" spans="1:26">
      <c r="A682" s="62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1"/>
    </row>
    <row r="683" spans="1:26">
      <c r="A683" s="62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1"/>
    </row>
    <row r="684" spans="1:26">
      <c r="A684" s="62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1"/>
    </row>
    <row r="685" spans="1:26">
      <c r="A685" s="62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1"/>
    </row>
    <row r="686" spans="1:26">
      <c r="A686" s="62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1"/>
    </row>
    <row r="687" spans="1:26">
      <c r="A687" s="62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1"/>
    </row>
    <row r="688" spans="1:26">
      <c r="A688" s="62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1"/>
    </row>
    <row r="689" spans="1:26">
      <c r="A689" s="62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1"/>
    </row>
    <row r="690" spans="1:26">
      <c r="A690" s="62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1"/>
    </row>
    <row r="691" spans="1:26">
      <c r="A691" s="62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1"/>
    </row>
    <row r="692" spans="1:26">
      <c r="A692" s="62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1"/>
    </row>
    <row r="693" spans="1:26">
      <c r="A693" s="62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1"/>
    </row>
    <row r="694" spans="1:26">
      <c r="A694" s="62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1"/>
    </row>
    <row r="695" spans="1:26">
      <c r="A695" s="62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1"/>
    </row>
    <row r="696" spans="1:26">
      <c r="A696" s="62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1"/>
    </row>
    <row r="697" spans="1:26">
      <c r="A697" s="62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1"/>
    </row>
    <row r="698" spans="1:26">
      <c r="A698" s="62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1"/>
    </row>
    <row r="699" spans="1:26">
      <c r="A699" s="62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1"/>
    </row>
    <row r="700" spans="1:26">
      <c r="A700" s="62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1"/>
    </row>
    <row r="701" spans="1:26">
      <c r="A701" s="62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1"/>
    </row>
    <row r="702" spans="1:26">
      <c r="A702" s="62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1"/>
    </row>
    <row r="703" spans="1:26">
      <c r="A703" s="62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1"/>
    </row>
    <row r="704" spans="1:26">
      <c r="A704" s="62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1"/>
    </row>
    <row r="705" spans="1:26">
      <c r="A705" s="62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1"/>
    </row>
    <row r="706" spans="1:26">
      <c r="A706" s="62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1"/>
    </row>
    <row r="707" spans="1:26">
      <c r="A707" s="62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1"/>
    </row>
    <row r="708" spans="1:26">
      <c r="A708" s="62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1"/>
    </row>
    <row r="709" spans="1:26">
      <c r="A709" s="62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1"/>
    </row>
    <row r="710" spans="1:26">
      <c r="A710" s="62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1"/>
    </row>
    <row r="711" spans="1:26">
      <c r="A711" s="62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1"/>
    </row>
    <row r="712" spans="1:26">
      <c r="A712" s="62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1"/>
    </row>
    <row r="713" spans="1:26">
      <c r="A713" s="62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1"/>
    </row>
    <row r="714" spans="1:26">
      <c r="A714" s="62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1"/>
    </row>
    <row r="715" spans="1:26">
      <c r="A715" s="62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1"/>
    </row>
    <row r="716" spans="1:26">
      <c r="A716" s="62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1"/>
    </row>
    <row r="717" spans="1:26">
      <c r="A717" s="62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1"/>
    </row>
    <row r="718" spans="1:26">
      <c r="A718" s="62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1"/>
    </row>
    <row r="719" spans="1:26">
      <c r="A719" s="62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1"/>
    </row>
    <row r="720" spans="1:26">
      <c r="A720" s="62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1"/>
    </row>
    <row r="721" spans="1:26">
      <c r="A721" s="62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1"/>
    </row>
    <row r="722" spans="1:26">
      <c r="A722" s="62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1"/>
    </row>
    <row r="723" spans="1:26">
      <c r="A723" s="62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1"/>
    </row>
    <row r="724" spans="1:26">
      <c r="A724" s="62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1"/>
    </row>
    <row r="725" spans="1:26">
      <c r="A725" s="62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1"/>
    </row>
    <row r="726" spans="1:26">
      <c r="A726" s="62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1"/>
    </row>
    <row r="727" spans="1:26">
      <c r="A727" s="62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1"/>
    </row>
    <row r="728" spans="1:26">
      <c r="A728" s="62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1"/>
    </row>
    <row r="729" spans="1:26">
      <c r="A729" s="62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1"/>
    </row>
    <row r="730" spans="1:26">
      <c r="A730" s="62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1"/>
    </row>
    <row r="731" spans="1:26">
      <c r="A731" s="62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1"/>
    </row>
    <row r="732" spans="1:26">
      <c r="A732" s="62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1"/>
    </row>
    <row r="733" spans="1:26">
      <c r="A733" s="62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1"/>
    </row>
    <row r="734" spans="1:26">
      <c r="A734" s="62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1"/>
    </row>
    <row r="735" spans="1:26">
      <c r="A735" s="62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1"/>
    </row>
    <row r="736" spans="1:26">
      <c r="A736" s="62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1"/>
    </row>
    <row r="737" spans="1:26">
      <c r="A737" s="62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1"/>
    </row>
    <row r="738" spans="1:26">
      <c r="A738" s="62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1"/>
    </row>
    <row r="739" spans="1:26">
      <c r="A739" s="62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1"/>
    </row>
    <row r="740" spans="1:26">
      <c r="A740" s="62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1"/>
    </row>
    <row r="741" spans="1:26">
      <c r="A741" s="62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1"/>
    </row>
    <row r="742" spans="1:26">
      <c r="A742" s="62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1"/>
    </row>
    <row r="743" spans="1:26">
      <c r="A743" s="62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1"/>
    </row>
    <row r="744" spans="1:26">
      <c r="A744" s="62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1"/>
    </row>
    <row r="745" spans="1:26">
      <c r="A745" s="62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1"/>
    </row>
    <row r="746" spans="1:26">
      <c r="A746" s="62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1"/>
    </row>
    <row r="747" spans="1:26">
      <c r="A747" s="62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1"/>
    </row>
    <row r="748" spans="1:26">
      <c r="A748" s="62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1"/>
    </row>
    <row r="749" spans="1:26">
      <c r="A749" s="62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1"/>
    </row>
    <row r="750" spans="1:26">
      <c r="A750" s="62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1"/>
    </row>
    <row r="751" spans="1:26">
      <c r="A751" s="62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1"/>
    </row>
    <row r="752" spans="1:26">
      <c r="A752" s="62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1"/>
    </row>
    <row r="753" spans="1:26">
      <c r="A753" s="62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1"/>
    </row>
    <row r="754" spans="1:26">
      <c r="A754" s="62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1"/>
    </row>
    <row r="755" spans="1:26">
      <c r="A755" s="62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1"/>
    </row>
    <row r="756" spans="1:26">
      <c r="A756" s="62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1"/>
    </row>
    <row r="757" spans="1:26">
      <c r="A757" s="62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1"/>
    </row>
    <row r="758" spans="1:26">
      <c r="A758" s="62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1"/>
    </row>
    <row r="759" spans="1:26">
      <c r="A759" s="62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1"/>
    </row>
    <row r="760" spans="1:26">
      <c r="A760" s="62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1"/>
    </row>
    <row r="761" spans="1:26">
      <c r="A761" s="62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1"/>
    </row>
    <row r="762" spans="1:26">
      <c r="A762" s="62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1"/>
    </row>
    <row r="763" spans="1:26">
      <c r="A763" s="62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1"/>
    </row>
    <row r="764" spans="1:26">
      <c r="A764" s="62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1"/>
    </row>
    <row r="765" spans="1:26">
      <c r="A765" s="62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1"/>
    </row>
    <row r="766" spans="1:26">
      <c r="A766" s="62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1"/>
    </row>
    <row r="767" spans="1:26">
      <c r="A767" s="62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1"/>
    </row>
    <row r="768" spans="1:26">
      <c r="A768" s="62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1"/>
    </row>
    <row r="769" spans="1:26">
      <c r="A769" s="62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1"/>
    </row>
    <row r="770" spans="1:26">
      <c r="A770" s="62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1"/>
    </row>
    <row r="771" spans="1:26">
      <c r="A771" s="62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1"/>
    </row>
    <row r="772" spans="1:26">
      <c r="A772" s="62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1"/>
    </row>
    <row r="773" spans="1:26">
      <c r="A773" s="62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1"/>
    </row>
    <row r="774" spans="1:26">
      <c r="A774" s="62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1"/>
    </row>
    <row r="775" spans="1:26">
      <c r="A775" s="62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1"/>
    </row>
    <row r="776" spans="1:26">
      <c r="A776" s="62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1"/>
    </row>
    <row r="777" spans="1:26">
      <c r="A777" s="62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1"/>
    </row>
    <row r="778" spans="1:26">
      <c r="A778" s="62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1"/>
    </row>
    <row r="779" spans="1:26">
      <c r="A779" s="62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1"/>
    </row>
    <row r="780" spans="1:26">
      <c r="A780" s="62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1"/>
    </row>
    <row r="781" spans="1:26">
      <c r="A781" s="62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1"/>
    </row>
    <row r="782" spans="1:26">
      <c r="A782" s="62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1"/>
    </row>
    <row r="783" spans="1:26">
      <c r="A783" s="62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1"/>
    </row>
    <row r="784" spans="1:26">
      <c r="A784" s="62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1"/>
    </row>
    <row r="785" spans="1:26">
      <c r="A785" s="62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1"/>
    </row>
    <row r="786" spans="1:26">
      <c r="A786" s="62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1"/>
    </row>
    <row r="787" spans="1:26">
      <c r="A787" s="62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1"/>
    </row>
    <row r="788" spans="1:26">
      <c r="A788" s="62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1"/>
    </row>
    <row r="789" spans="1:26">
      <c r="A789" s="62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1"/>
    </row>
    <row r="790" spans="1:26">
      <c r="A790" s="62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1"/>
    </row>
    <row r="791" spans="1:26">
      <c r="A791" s="62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1"/>
    </row>
    <row r="792" spans="1:26">
      <c r="A792" s="62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1"/>
    </row>
    <row r="793" spans="1:26">
      <c r="A793" s="62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1"/>
    </row>
    <row r="794" spans="1:26">
      <c r="A794" s="62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1"/>
    </row>
    <row r="795" spans="1:26">
      <c r="A795" s="62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1"/>
    </row>
    <row r="796" spans="1:26">
      <c r="A796" s="62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1"/>
    </row>
    <row r="797" spans="1:26">
      <c r="A797" s="62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1"/>
    </row>
    <row r="798" spans="1:26">
      <c r="A798" s="62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1"/>
    </row>
    <row r="799" spans="1:26">
      <c r="A799" s="62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1"/>
    </row>
    <row r="800" spans="1:26">
      <c r="A800" s="62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1"/>
    </row>
    <row r="801" spans="1:26">
      <c r="A801" s="62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1"/>
    </row>
    <row r="802" spans="1:26">
      <c r="A802" s="62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1"/>
    </row>
    <row r="803" spans="1:26">
      <c r="A803" s="62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1"/>
    </row>
    <row r="804" spans="1:26">
      <c r="A804" s="62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1"/>
    </row>
    <row r="805" spans="1:26">
      <c r="A805" s="62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1"/>
    </row>
    <row r="806" spans="1:26">
      <c r="A806" s="62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1"/>
    </row>
    <row r="807" spans="1:26">
      <c r="A807" s="62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1"/>
    </row>
    <row r="808" spans="1:26">
      <c r="A808" s="62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1"/>
    </row>
    <row r="809" spans="1:26">
      <c r="A809" s="62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1"/>
    </row>
    <row r="810" spans="1:26">
      <c r="A810" s="62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1"/>
    </row>
    <row r="811" spans="1:26">
      <c r="A811" s="62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1"/>
    </row>
    <row r="812" spans="1:26">
      <c r="A812" s="62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1"/>
    </row>
    <row r="813" spans="1:26">
      <c r="A813" s="62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1"/>
    </row>
    <row r="814" spans="1:26">
      <c r="A814" s="62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1"/>
    </row>
    <row r="815" spans="1:26">
      <c r="A815" s="62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1"/>
    </row>
    <row r="816" spans="1:26">
      <c r="A816" s="62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1"/>
    </row>
    <row r="817" spans="1:26">
      <c r="A817" s="62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1"/>
    </row>
    <row r="818" spans="1:26">
      <c r="A818" s="62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1"/>
    </row>
    <row r="819" spans="1:26">
      <c r="A819" s="62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1"/>
    </row>
    <row r="820" spans="1:26">
      <c r="A820" s="62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1"/>
    </row>
    <row r="821" spans="1:26">
      <c r="A821" s="62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1"/>
    </row>
    <row r="822" spans="1:26">
      <c r="A822" s="62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1"/>
    </row>
    <row r="823" spans="1:26">
      <c r="A823" s="62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1"/>
    </row>
    <row r="824" spans="1:26">
      <c r="A824" s="62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1"/>
    </row>
    <row r="825" spans="1:26">
      <c r="A825" s="62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1"/>
    </row>
    <row r="826" spans="1:26">
      <c r="A826" s="62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1"/>
    </row>
    <row r="827" spans="1:26">
      <c r="A827" s="62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1"/>
    </row>
    <row r="828" spans="1:26">
      <c r="A828" s="62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1"/>
    </row>
    <row r="829" spans="1:26">
      <c r="A829" s="62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1"/>
    </row>
    <row r="830" spans="1:26">
      <c r="A830" s="62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1"/>
    </row>
    <row r="831" spans="1:26">
      <c r="A831" s="62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1"/>
    </row>
    <row r="832" spans="1:26">
      <c r="A832" s="62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1"/>
    </row>
    <row r="833" spans="1:26">
      <c r="A833" s="62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1"/>
    </row>
    <row r="834" spans="1:26">
      <c r="A834" s="62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1"/>
    </row>
    <row r="835" spans="1:26">
      <c r="A835" s="62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1"/>
    </row>
    <row r="836" spans="1:26">
      <c r="A836" s="62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1"/>
    </row>
    <row r="837" spans="1:26">
      <c r="A837" s="62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1"/>
    </row>
    <row r="838" spans="1:26">
      <c r="A838" s="62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1"/>
    </row>
    <row r="839" spans="1:26">
      <c r="A839" s="62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1"/>
    </row>
    <row r="840" spans="1:26">
      <c r="A840" s="62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1"/>
    </row>
    <row r="841" spans="1:26">
      <c r="A841" s="62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1"/>
    </row>
    <row r="842" spans="1:26">
      <c r="A842" s="62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1"/>
    </row>
    <row r="843" spans="1:26">
      <c r="A843" s="62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1"/>
    </row>
    <row r="844" spans="1:26">
      <c r="A844" s="62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1"/>
    </row>
    <row r="845" spans="1:26">
      <c r="A845" s="62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1"/>
    </row>
    <row r="846" spans="1:26">
      <c r="A846" s="62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1"/>
    </row>
    <row r="847" spans="1:26">
      <c r="A847" s="62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1"/>
    </row>
    <row r="848" spans="1:26">
      <c r="A848" s="62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1"/>
    </row>
    <row r="849" spans="1:26">
      <c r="A849" s="62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1"/>
    </row>
    <row r="850" spans="1:26">
      <c r="A850" s="62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1"/>
    </row>
    <row r="851" spans="1:26">
      <c r="A851" s="62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1"/>
    </row>
    <row r="852" spans="1:26">
      <c r="A852" s="62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1"/>
    </row>
    <row r="853" spans="1:26">
      <c r="A853" s="62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1"/>
    </row>
    <row r="854" spans="1:26">
      <c r="A854" s="62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1"/>
    </row>
    <row r="855" spans="1:26">
      <c r="A855" s="62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1"/>
    </row>
    <row r="856" spans="1:26">
      <c r="A856" s="62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1"/>
    </row>
    <row r="857" spans="1:26">
      <c r="A857" s="62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1"/>
    </row>
    <row r="858" spans="1:26">
      <c r="A858" s="62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1"/>
    </row>
    <row r="859" spans="1:26">
      <c r="A859" s="62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1"/>
    </row>
    <row r="860" spans="1:26">
      <c r="A860" s="62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1"/>
    </row>
    <row r="861" spans="1:26">
      <c r="A861" s="62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1"/>
    </row>
    <row r="862" spans="1:26">
      <c r="A862" s="62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1"/>
    </row>
    <row r="863" spans="1:26">
      <c r="A863" s="62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1"/>
    </row>
    <row r="864" spans="1:26">
      <c r="A864" s="62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1"/>
    </row>
    <row r="865" spans="1:26">
      <c r="A865" s="62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1"/>
    </row>
    <row r="866" spans="1:26">
      <c r="A866" s="62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1"/>
    </row>
    <row r="867" spans="1:26">
      <c r="A867" s="62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1"/>
    </row>
    <row r="868" spans="1:26">
      <c r="A868" s="62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1"/>
    </row>
    <row r="869" spans="1:26">
      <c r="A869" s="62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1"/>
    </row>
    <row r="870" spans="1:26">
      <c r="A870" s="62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1"/>
    </row>
    <row r="871" spans="1:26">
      <c r="A871" s="62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1"/>
    </row>
    <row r="872" spans="1:26">
      <c r="A872" s="62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1"/>
    </row>
    <row r="873" spans="1:26">
      <c r="A873" s="62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1"/>
    </row>
    <row r="874" spans="1:26">
      <c r="A874" s="62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1"/>
    </row>
    <row r="875" spans="1:26">
      <c r="A875" s="62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1"/>
    </row>
    <row r="876" spans="1:26">
      <c r="A876" s="62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1"/>
    </row>
    <row r="877" spans="1:26">
      <c r="A877" s="62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1"/>
    </row>
    <row r="878" spans="1:26">
      <c r="A878" s="62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1"/>
    </row>
    <row r="879" spans="1:26">
      <c r="A879" s="62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1"/>
    </row>
    <row r="880" spans="1:26">
      <c r="A880" s="62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1"/>
    </row>
    <row r="881" spans="1:26">
      <c r="A881" s="62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1"/>
    </row>
    <row r="882" spans="1:26">
      <c r="A882" s="62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1"/>
    </row>
    <row r="883" spans="1:26">
      <c r="A883" s="62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1"/>
    </row>
    <row r="884" spans="1:26">
      <c r="A884" s="62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1"/>
    </row>
    <row r="885" spans="1:26">
      <c r="A885" s="62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1"/>
    </row>
    <row r="886" spans="1:26">
      <c r="A886" s="62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1"/>
    </row>
    <row r="887" spans="1:26">
      <c r="A887" s="62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1"/>
    </row>
    <row r="888" spans="1:26">
      <c r="A888" s="62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1"/>
    </row>
    <row r="889" spans="1:26">
      <c r="A889" s="62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1"/>
    </row>
    <row r="890" spans="1:26">
      <c r="A890" s="62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1"/>
    </row>
    <row r="891" spans="1:26">
      <c r="A891" s="62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1"/>
    </row>
    <row r="892" spans="1:26">
      <c r="A892" s="62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1"/>
    </row>
    <row r="893" spans="1:26">
      <c r="A893" s="62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1"/>
    </row>
    <row r="894" spans="1:26">
      <c r="A894" s="62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1"/>
    </row>
    <row r="895" spans="1:26">
      <c r="A895" s="62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1"/>
    </row>
    <row r="896" spans="1:26">
      <c r="A896" s="62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1"/>
    </row>
    <row r="897" spans="1:26">
      <c r="A897" s="62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1"/>
    </row>
    <row r="898" spans="1:26">
      <c r="A898" s="62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1"/>
    </row>
    <row r="899" spans="1:26">
      <c r="A899" s="62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1"/>
    </row>
    <row r="900" spans="1:26">
      <c r="A900" s="62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1"/>
    </row>
    <row r="901" spans="1:26">
      <c r="A901" s="62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1"/>
    </row>
    <row r="902" spans="1:26">
      <c r="A902" s="62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1"/>
    </row>
    <row r="903" spans="1:26">
      <c r="A903" s="62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1"/>
    </row>
    <row r="904" spans="1:26">
      <c r="A904" s="62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1"/>
    </row>
    <row r="905" spans="1:26">
      <c r="A905" s="62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1"/>
    </row>
    <row r="906" spans="1:26">
      <c r="A906" s="62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1"/>
    </row>
    <row r="907" spans="1:26">
      <c r="A907" s="62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1"/>
    </row>
    <row r="908" spans="1:26">
      <c r="A908" s="62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1"/>
    </row>
    <row r="909" spans="1:26">
      <c r="A909" s="62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1"/>
    </row>
    <row r="910" spans="1:26">
      <c r="A910" s="62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1"/>
    </row>
    <row r="911" spans="1:26">
      <c r="A911" s="62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1"/>
    </row>
    <row r="912" spans="1:26">
      <c r="A912" s="62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1"/>
    </row>
    <row r="913" spans="1:26">
      <c r="A913" s="62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1"/>
    </row>
    <row r="914" spans="1:26">
      <c r="A914" s="62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1"/>
    </row>
    <row r="915" spans="1:26">
      <c r="A915" s="62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1"/>
    </row>
    <row r="916" spans="1:26">
      <c r="A916" s="62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1"/>
    </row>
    <row r="917" spans="1:26">
      <c r="A917" s="62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1"/>
    </row>
    <row r="918" spans="1:26">
      <c r="A918" s="62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1"/>
    </row>
    <row r="919" spans="1:26">
      <c r="A919" s="62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1"/>
    </row>
    <row r="920" spans="1:26">
      <c r="A920" s="62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1"/>
    </row>
    <row r="921" spans="1:26">
      <c r="A921" s="62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1"/>
    </row>
    <row r="922" spans="1:26">
      <c r="A922" s="62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1"/>
    </row>
    <row r="923" spans="1:26">
      <c r="A923" s="62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1"/>
    </row>
    <row r="924" spans="1:26">
      <c r="A924" s="62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1"/>
    </row>
    <row r="925" spans="1:26">
      <c r="A925" s="62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1"/>
    </row>
    <row r="926" spans="1:26">
      <c r="A926" s="62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1"/>
    </row>
    <row r="927" spans="1:26">
      <c r="A927" s="62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1"/>
    </row>
    <row r="928" spans="1:26">
      <c r="A928" s="62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1"/>
    </row>
    <row r="929" spans="1:26">
      <c r="A929" s="62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1"/>
    </row>
    <row r="930" spans="1:26">
      <c r="A930" s="62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1"/>
    </row>
    <row r="931" spans="1:26">
      <c r="A931" s="62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1"/>
    </row>
    <row r="932" spans="1:26">
      <c r="A932" s="62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1"/>
    </row>
    <row r="933" spans="1:26">
      <c r="A933" s="62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1"/>
    </row>
    <row r="934" spans="1:26">
      <c r="A934" s="62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1"/>
    </row>
    <row r="935" spans="1:26">
      <c r="A935" s="62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1"/>
    </row>
    <row r="936" spans="1:26">
      <c r="A936" s="62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1"/>
    </row>
    <row r="937" spans="1:26">
      <c r="A937" s="62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1"/>
    </row>
    <row r="938" spans="1:26">
      <c r="A938" s="62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1"/>
    </row>
    <row r="939" spans="1:26">
      <c r="A939" s="62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1"/>
    </row>
    <row r="940" spans="1:26">
      <c r="A940" s="62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1"/>
    </row>
    <row r="941" spans="1:26">
      <c r="A941" s="62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1"/>
    </row>
    <row r="942" spans="1:26">
      <c r="A942" s="62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1"/>
    </row>
    <row r="943" spans="1:26">
      <c r="A943" s="62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1"/>
    </row>
    <row r="944" spans="1:26">
      <c r="A944" s="62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1"/>
    </row>
    <row r="945" spans="1:26">
      <c r="A945" s="62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1"/>
    </row>
    <row r="946" spans="1:26">
      <c r="A946" s="62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1"/>
    </row>
    <row r="947" spans="1:26">
      <c r="A947" s="62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1"/>
    </row>
    <row r="948" spans="1:26">
      <c r="A948" s="62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1"/>
    </row>
    <row r="949" spans="1:26">
      <c r="A949" s="62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1"/>
    </row>
    <row r="950" spans="1:26">
      <c r="A950" s="62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1"/>
    </row>
    <row r="951" spans="1:26">
      <c r="A951" s="62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1"/>
    </row>
    <row r="952" spans="1:26">
      <c r="A952" s="62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1"/>
    </row>
    <row r="953" spans="1:26">
      <c r="A953" s="62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1"/>
    </row>
    <row r="954" spans="1:26">
      <c r="A954" s="62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1"/>
    </row>
    <row r="955" spans="1:26">
      <c r="A955" s="62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1"/>
    </row>
    <row r="956" spans="1:26">
      <c r="A956" s="62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1"/>
    </row>
    <row r="957" spans="1:26">
      <c r="A957" s="62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1"/>
    </row>
    <row r="958" spans="1:26">
      <c r="A958" s="62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1"/>
    </row>
    <row r="959" spans="1:26">
      <c r="A959" s="62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1"/>
    </row>
    <row r="960" spans="1:26">
      <c r="A960" s="62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1"/>
    </row>
    <row r="961" spans="1:26">
      <c r="A961" s="62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1"/>
    </row>
    <row r="962" spans="1:26">
      <c r="A962" s="62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1"/>
    </row>
    <row r="963" spans="1:26">
      <c r="A963" s="62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1"/>
    </row>
    <row r="964" spans="1:26">
      <c r="A964" s="62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1"/>
    </row>
    <row r="965" spans="1:26">
      <c r="A965" s="62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1"/>
    </row>
    <row r="966" spans="1:26">
      <c r="A966" s="62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1"/>
    </row>
    <row r="967" spans="1:26">
      <c r="A967" s="62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1"/>
    </row>
    <row r="968" spans="1:26">
      <c r="A968" s="62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1"/>
    </row>
    <row r="969" spans="1:26">
      <c r="A969" s="62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1"/>
    </row>
    <row r="970" spans="1:26">
      <c r="A970" s="62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1"/>
    </row>
    <row r="971" spans="1:26">
      <c r="A971" s="62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1"/>
    </row>
    <row r="972" spans="1:26">
      <c r="A972" s="62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1"/>
    </row>
    <row r="973" spans="1:26">
      <c r="A973" s="62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1"/>
    </row>
    <row r="974" spans="1:26">
      <c r="A974" s="62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1"/>
    </row>
    <row r="975" spans="1:26">
      <c r="A975" s="62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1"/>
    </row>
    <row r="976" spans="1:26">
      <c r="A976" s="62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1"/>
    </row>
    <row r="977" spans="1:26">
      <c r="A977" s="62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1"/>
    </row>
    <row r="978" spans="1:26">
      <c r="A978" s="62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1"/>
    </row>
    <row r="979" spans="1:26">
      <c r="A979" s="62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1"/>
    </row>
    <row r="980" spans="1:26">
      <c r="A980" s="62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1"/>
    </row>
    <row r="981" spans="1:26">
      <c r="A981" s="62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1"/>
    </row>
    <row r="982" spans="1:26">
      <c r="A982" s="62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1"/>
    </row>
    <row r="983" spans="1:26">
      <c r="A983" s="62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1"/>
    </row>
    <row r="984" spans="1:26">
      <c r="A984" s="62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1"/>
    </row>
    <row r="985" spans="1:26">
      <c r="A985" s="62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1"/>
    </row>
    <row r="986" spans="1:26">
      <c r="A986" s="62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1"/>
    </row>
    <row r="987" spans="1:26">
      <c r="A987" s="62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1"/>
    </row>
    <row r="988" spans="1:26">
      <c r="A988" s="62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1"/>
    </row>
    <row r="989" spans="1:26">
      <c r="A989" s="62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1"/>
    </row>
    <row r="990" spans="1:26">
      <c r="A990" s="62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1"/>
    </row>
    <row r="991" spans="1:26">
      <c r="A991" s="62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1"/>
    </row>
    <row r="992" spans="1:26">
      <c r="A992" s="62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1"/>
    </row>
    <row r="993" spans="1:26">
      <c r="A993" s="62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1"/>
    </row>
    <row r="994" spans="1:26">
      <c r="A994" s="62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1"/>
    </row>
    <row r="995" spans="1:26">
      <c r="A995" s="62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1"/>
    </row>
    <row r="996" spans="1:26">
      <c r="A996" s="62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1"/>
    </row>
    <row r="997" spans="1:26">
      <c r="A997" s="62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1"/>
    </row>
    <row r="998" spans="1:26">
      <c r="A998" s="62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1"/>
    </row>
    <row r="999" spans="1:26">
      <c r="A999" s="62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1"/>
    </row>
    <row r="1000" spans="1:26">
      <c r="A1000" s="63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7487-11E3-4D55-B861-99B4E898452B}">
  <dimension ref="A1:Z975"/>
  <sheetViews>
    <sheetView topLeftCell="A21" workbookViewId="0">
      <selection activeCell="E29" sqref="E29"/>
    </sheetView>
  </sheetViews>
  <sheetFormatPr defaultRowHeight="15"/>
  <cols>
    <col min="1" max="1" width="12" bestFit="1" customWidth="1"/>
    <col min="2" max="2" width="15.140625" bestFit="1" customWidth="1"/>
    <col min="3" max="3" width="17.28515625" bestFit="1" customWidth="1"/>
    <col min="5" max="5" width="9.85546875" bestFit="1" customWidth="1"/>
    <col min="9" max="9" width="36.5703125" bestFit="1" customWidth="1"/>
  </cols>
  <sheetData>
    <row r="1" spans="1:26">
      <c r="A1" s="73"/>
      <c r="B1" s="74"/>
      <c r="C1" s="74"/>
      <c r="D1" s="74"/>
      <c r="E1" s="74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6"/>
    </row>
    <row r="2" spans="1:26">
      <c r="A2" s="77" t="s">
        <v>84</v>
      </c>
      <c r="B2" s="78" t="s">
        <v>191</v>
      </c>
      <c r="C2" s="78" t="s">
        <v>192</v>
      </c>
      <c r="D2" s="78" t="s">
        <v>193</v>
      </c>
      <c r="E2" s="79" t="s">
        <v>194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1"/>
    </row>
    <row r="3" spans="1:26">
      <c r="A3" s="82" t="s">
        <v>195</v>
      </c>
      <c r="B3" s="83">
        <v>84</v>
      </c>
      <c r="C3" s="83" t="s">
        <v>196</v>
      </c>
      <c r="D3" s="83">
        <v>99</v>
      </c>
      <c r="E3" s="84" t="s">
        <v>197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1"/>
    </row>
    <row r="4" spans="1:26">
      <c r="A4" s="85" t="s">
        <v>195</v>
      </c>
      <c r="B4" s="86">
        <v>84</v>
      </c>
      <c r="C4" s="86" t="s">
        <v>198</v>
      </c>
      <c r="D4" s="86">
        <v>97</v>
      </c>
      <c r="E4" s="87" t="s">
        <v>199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1"/>
    </row>
    <row r="5" spans="1:26">
      <c r="A5" s="82" t="s">
        <v>195</v>
      </c>
      <c r="B5" s="83">
        <v>84</v>
      </c>
      <c r="C5" s="83" t="s">
        <v>200</v>
      </c>
      <c r="D5" s="83">
        <v>96</v>
      </c>
      <c r="E5" s="84" t="s">
        <v>201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1"/>
    </row>
    <row r="6" spans="1:26">
      <c r="A6" s="85" t="s">
        <v>195</v>
      </c>
      <c r="B6" s="86">
        <v>84</v>
      </c>
      <c r="C6" s="86" t="s">
        <v>202</v>
      </c>
      <c r="D6" s="86">
        <v>95</v>
      </c>
      <c r="E6" s="87" t="s">
        <v>203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1"/>
    </row>
    <row r="7" spans="1:26">
      <c r="A7" s="82" t="s">
        <v>195</v>
      </c>
      <c r="B7" s="83">
        <v>84</v>
      </c>
      <c r="C7" s="83" t="s">
        <v>204</v>
      </c>
      <c r="D7" s="83">
        <v>93</v>
      </c>
      <c r="E7" s="84" t="s">
        <v>205</v>
      </c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1"/>
    </row>
    <row r="8" spans="1:26">
      <c r="A8" s="85" t="s">
        <v>206</v>
      </c>
      <c r="B8" s="86">
        <v>86</v>
      </c>
      <c r="C8" s="86" t="s">
        <v>207</v>
      </c>
      <c r="D8" s="86">
        <v>99</v>
      </c>
      <c r="E8" s="87" t="s">
        <v>208</v>
      </c>
      <c r="F8" s="80"/>
      <c r="G8" s="80"/>
      <c r="H8" s="80"/>
      <c r="I8" s="11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1"/>
    </row>
    <row r="9" spans="1:26">
      <c r="A9" s="82" t="s">
        <v>206</v>
      </c>
      <c r="B9" s="83">
        <v>86</v>
      </c>
      <c r="C9" s="83" t="s">
        <v>209</v>
      </c>
      <c r="D9" s="83">
        <v>98</v>
      </c>
      <c r="E9" s="84" t="s">
        <v>210</v>
      </c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1"/>
    </row>
    <row r="10" spans="1:26">
      <c r="A10" s="85" t="s">
        <v>206</v>
      </c>
      <c r="B10" s="86">
        <v>86</v>
      </c>
      <c r="C10" s="86" t="s">
        <v>211</v>
      </c>
      <c r="D10" s="86">
        <v>97</v>
      </c>
      <c r="E10" s="87" t="s">
        <v>212</v>
      </c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1"/>
    </row>
    <row r="11" spans="1:26">
      <c r="A11" s="82" t="s">
        <v>206</v>
      </c>
      <c r="B11" s="83">
        <v>86</v>
      </c>
      <c r="C11" s="83" t="s">
        <v>213</v>
      </c>
      <c r="D11" s="83">
        <v>96</v>
      </c>
      <c r="E11" s="84" t="s">
        <v>199</v>
      </c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1"/>
    </row>
    <row r="12" spans="1:26">
      <c r="A12" s="85" t="s">
        <v>206</v>
      </c>
      <c r="B12" s="86">
        <v>86</v>
      </c>
      <c r="C12" s="86" t="s">
        <v>214</v>
      </c>
      <c r="D12" s="86">
        <v>96</v>
      </c>
      <c r="E12" s="87" t="s">
        <v>215</v>
      </c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1"/>
    </row>
    <row r="13" spans="1:26">
      <c r="A13" s="82" t="s">
        <v>216</v>
      </c>
      <c r="B13" s="83">
        <v>85</v>
      </c>
      <c r="C13" s="83" t="s">
        <v>217</v>
      </c>
      <c r="D13" s="83">
        <v>98</v>
      </c>
      <c r="E13" s="84" t="s">
        <v>197</v>
      </c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1"/>
    </row>
    <row r="14" spans="1:26">
      <c r="A14" s="85" t="s">
        <v>216</v>
      </c>
      <c r="B14" s="86">
        <v>85</v>
      </c>
      <c r="C14" s="86" t="s">
        <v>218</v>
      </c>
      <c r="D14" s="86">
        <v>96</v>
      </c>
      <c r="E14" s="87" t="s">
        <v>212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1"/>
    </row>
    <row r="15" spans="1:26">
      <c r="A15" s="82" t="s">
        <v>216</v>
      </c>
      <c r="B15" s="83">
        <v>85</v>
      </c>
      <c r="C15" s="83" t="s">
        <v>219</v>
      </c>
      <c r="D15" s="83">
        <v>95</v>
      </c>
      <c r="E15" s="84" t="s">
        <v>199</v>
      </c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1"/>
    </row>
    <row r="16" spans="1:26">
      <c r="A16" s="85" t="s">
        <v>216</v>
      </c>
      <c r="B16" s="86">
        <v>85</v>
      </c>
      <c r="C16" s="86" t="s">
        <v>220</v>
      </c>
      <c r="D16" s="86">
        <v>94</v>
      </c>
      <c r="E16" s="87" t="s">
        <v>221</v>
      </c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1"/>
    </row>
    <row r="17" spans="1:26">
      <c r="A17" s="82" t="s">
        <v>216</v>
      </c>
      <c r="B17" s="83">
        <v>85</v>
      </c>
      <c r="C17" s="83" t="s">
        <v>222</v>
      </c>
      <c r="D17" s="83">
        <v>92</v>
      </c>
      <c r="E17" s="84" t="s">
        <v>201</v>
      </c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1"/>
    </row>
    <row r="18" spans="1:26">
      <c r="A18" s="85" t="s">
        <v>223</v>
      </c>
      <c r="B18" s="86">
        <v>84</v>
      </c>
      <c r="C18" s="86" t="s">
        <v>224</v>
      </c>
      <c r="D18" s="86">
        <v>98</v>
      </c>
      <c r="E18" s="87" t="s">
        <v>197</v>
      </c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1"/>
    </row>
    <row r="19" spans="1:26">
      <c r="A19" s="82" t="s">
        <v>223</v>
      </c>
      <c r="B19" s="83">
        <v>84</v>
      </c>
      <c r="C19" s="83" t="s">
        <v>225</v>
      </c>
      <c r="D19" s="83">
        <v>94</v>
      </c>
      <c r="E19" s="84" t="s">
        <v>226</v>
      </c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1"/>
    </row>
    <row r="20" spans="1:26">
      <c r="A20" s="85" t="s">
        <v>223</v>
      </c>
      <c r="B20" s="86">
        <v>84</v>
      </c>
      <c r="C20" s="86" t="s">
        <v>227</v>
      </c>
      <c r="D20" s="86">
        <v>92</v>
      </c>
      <c r="E20" s="87" t="s">
        <v>226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1"/>
    </row>
    <row r="21" spans="1:26">
      <c r="A21" s="82" t="s">
        <v>223</v>
      </c>
      <c r="B21" s="83">
        <v>84</v>
      </c>
      <c r="C21" s="83" t="s">
        <v>228</v>
      </c>
      <c r="D21" s="83">
        <v>90</v>
      </c>
      <c r="E21" s="84" t="s">
        <v>201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1"/>
    </row>
    <row r="22" spans="1:26">
      <c r="A22" s="85" t="s">
        <v>223</v>
      </c>
      <c r="B22" s="86">
        <v>84</v>
      </c>
      <c r="C22" s="86" t="s">
        <v>229</v>
      </c>
      <c r="D22" s="86">
        <v>89</v>
      </c>
      <c r="E22" s="87" t="s">
        <v>205</v>
      </c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1"/>
    </row>
    <row r="23" spans="1:26">
      <c r="A23" s="82" t="s">
        <v>230</v>
      </c>
      <c r="B23" s="83">
        <v>83</v>
      </c>
      <c r="C23" s="83" t="s">
        <v>231</v>
      </c>
      <c r="D23" s="83">
        <v>95</v>
      </c>
      <c r="E23" s="84" t="s">
        <v>197</v>
      </c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1"/>
    </row>
    <row r="24" spans="1:26">
      <c r="A24" s="85" t="s">
        <v>230</v>
      </c>
      <c r="B24" s="86">
        <v>83</v>
      </c>
      <c r="C24" s="86" t="s">
        <v>232</v>
      </c>
      <c r="D24" s="86">
        <v>95</v>
      </c>
      <c r="E24" s="87" t="s">
        <v>233</v>
      </c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1"/>
    </row>
    <row r="25" spans="1:26">
      <c r="A25" s="82" t="s">
        <v>230</v>
      </c>
      <c r="B25" s="83">
        <v>83</v>
      </c>
      <c r="C25" s="83" t="s">
        <v>234</v>
      </c>
      <c r="D25" s="83">
        <v>92</v>
      </c>
      <c r="E25" s="84" t="s">
        <v>215</v>
      </c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1"/>
    </row>
    <row r="26" spans="1:26">
      <c r="A26" s="85" t="s">
        <v>230</v>
      </c>
      <c r="B26" s="86">
        <v>83</v>
      </c>
      <c r="C26" s="86" t="s">
        <v>235</v>
      </c>
      <c r="D26" s="86">
        <v>89</v>
      </c>
      <c r="E26" s="87" t="s">
        <v>233</v>
      </c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1"/>
    </row>
    <row r="27" spans="1:26">
      <c r="A27" s="82" t="s">
        <v>230</v>
      </c>
      <c r="B27" s="83">
        <v>83</v>
      </c>
      <c r="C27" s="83" t="s">
        <v>236</v>
      </c>
      <c r="D27" s="83">
        <v>88</v>
      </c>
      <c r="E27" s="84" t="s">
        <v>210</v>
      </c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1"/>
    </row>
    <row r="28" spans="1:26">
      <c r="A28" s="85" t="s">
        <v>185</v>
      </c>
      <c r="B28" s="86">
        <v>84</v>
      </c>
      <c r="C28" s="86" t="s">
        <v>237</v>
      </c>
      <c r="D28" s="86">
        <v>99</v>
      </c>
      <c r="E28" s="87" t="s">
        <v>215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1"/>
    </row>
    <row r="29" spans="1:26">
      <c r="A29" s="82" t="s">
        <v>185</v>
      </c>
      <c r="B29" s="83">
        <v>84</v>
      </c>
      <c r="C29" s="83" t="s">
        <v>238</v>
      </c>
      <c r="D29" s="83">
        <v>95</v>
      </c>
      <c r="E29" s="84" t="s">
        <v>208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1"/>
    </row>
    <row r="30" spans="1:26">
      <c r="A30" s="85" t="s">
        <v>185</v>
      </c>
      <c r="B30" s="86">
        <v>84</v>
      </c>
      <c r="C30" s="86" t="s">
        <v>239</v>
      </c>
      <c r="D30" s="86">
        <v>93</v>
      </c>
      <c r="E30" s="87" t="s">
        <v>233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1"/>
    </row>
    <row r="31" spans="1:26">
      <c r="A31" s="82" t="s">
        <v>185</v>
      </c>
      <c r="B31" s="83">
        <v>84</v>
      </c>
      <c r="C31" s="83" t="s">
        <v>240</v>
      </c>
      <c r="D31" s="83">
        <v>92</v>
      </c>
      <c r="E31" s="84" t="s">
        <v>205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1"/>
    </row>
    <row r="32" spans="1:26">
      <c r="A32" s="85" t="s">
        <v>185</v>
      </c>
      <c r="B32" s="86">
        <v>84</v>
      </c>
      <c r="C32" s="86" t="s">
        <v>241</v>
      </c>
      <c r="D32" s="86">
        <v>91</v>
      </c>
      <c r="E32" s="87" t="s">
        <v>242</v>
      </c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1"/>
    </row>
    <row r="33" spans="1:26">
      <c r="A33" s="82" t="s">
        <v>243</v>
      </c>
      <c r="B33" s="83">
        <v>82</v>
      </c>
      <c r="C33" s="83" t="s">
        <v>244</v>
      </c>
      <c r="D33" s="83">
        <v>99</v>
      </c>
      <c r="E33" s="84" t="s">
        <v>226</v>
      </c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1"/>
    </row>
    <row r="34" spans="1:26">
      <c r="A34" s="85" t="s">
        <v>243</v>
      </c>
      <c r="B34" s="86">
        <v>82</v>
      </c>
      <c r="C34" s="86" t="s">
        <v>245</v>
      </c>
      <c r="D34" s="86">
        <v>95</v>
      </c>
      <c r="E34" s="87" t="s">
        <v>246</v>
      </c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1"/>
    </row>
    <row r="35" spans="1:26">
      <c r="A35" s="82" t="s">
        <v>243</v>
      </c>
      <c r="B35" s="83">
        <v>82</v>
      </c>
      <c r="C35" s="83" t="s">
        <v>247</v>
      </c>
      <c r="D35" s="83">
        <v>92</v>
      </c>
      <c r="E35" s="84" t="s">
        <v>215</v>
      </c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1"/>
    </row>
    <row r="36" spans="1:26">
      <c r="A36" s="85" t="s">
        <v>243</v>
      </c>
      <c r="B36" s="86">
        <v>82</v>
      </c>
      <c r="C36" s="86" t="s">
        <v>248</v>
      </c>
      <c r="D36" s="86">
        <v>89</v>
      </c>
      <c r="E36" s="87" t="s">
        <v>233</v>
      </c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1"/>
    </row>
    <row r="37" spans="1:26">
      <c r="A37" s="82" t="s">
        <v>243</v>
      </c>
      <c r="B37" s="83">
        <v>82</v>
      </c>
      <c r="C37" s="83" t="s">
        <v>249</v>
      </c>
      <c r="D37" s="83">
        <v>88</v>
      </c>
      <c r="E37" s="84" t="s">
        <v>226</v>
      </c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1"/>
    </row>
    <row r="38" spans="1:26">
      <c r="A38" s="85" t="s">
        <v>250</v>
      </c>
      <c r="B38" s="86">
        <v>84</v>
      </c>
      <c r="C38" s="86" t="s">
        <v>251</v>
      </c>
      <c r="D38" s="86">
        <v>99</v>
      </c>
      <c r="E38" s="87" t="s">
        <v>233</v>
      </c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1"/>
    </row>
    <row r="39" spans="1:26">
      <c r="A39" s="82" t="s">
        <v>250</v>
      </c>
      <c r="B39" s="83">
        <v>84</v>
      </c>
      <c r="C39" s="83" t="s">
        <v>252</v>
      </c>
      <c r="D39" s="83">
        <v>96</v>
      </c>
      <c r="E39" s="84" t="s">
        <v>205</v>
      </c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1"/>
    </row>
    <row r="40" spans="1:26">
      <c r="A40" s="85" t="s">
        <v>250</v>
      </c>
      <c r="B40" s="86">
        <v>84</v>
      </c>
      <c r="C40" s="86" t="s">
        <v>253</v>
      </c>
      <c r="D40" s="86">
        <v>92</v>
      </c>
      <c r="E40" s="87" t="s">
        <v>197</v>
      </c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1"/>
    </row>
    <row r="41" spans="1:26">
      <c r="A41" s="82" t="s">
        <v>250</v>
      </c>
      <c r="B41" s="83">
        <v>84</v>
      </c>
      <c r="C41" s="83" t="s">
        <v>254</v>
      </c>
      <c r="D41" s="83">
        <v>91</v>
      </c>
      <c r="E41" s="84" t="s">
        <v>233</v>
      </c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1"/>
    </row>
    <row r="42" spans="1:26">
      <c r="A42" s="85" t="s">
        <v>250</v>
      </c>
      <c r="B42" s="86">
        <v>84</v>
      </c>
      <c r="C42" s="86" t="s">
        <v>255</v>
      </c>
      <c r="D42" s="86">
        <v>90</v>
      </c>
      <c r="E42" s="87" t="s">
        <v>210</v>
      </c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1"/>
    </row>
    <row r="43" spans="1:26">
      <c r="A43" s="82" t="s">
        <v>256</v>
      </c>
      <c r="B43" s="83">
        <v>85</v>
      </c>
      <c r="C43" s="83" t="s">
        <v>257</v>
      </c>
      <c r="D43" s="83">
        <v>96</v>
      </c>
      <c r="E43" s="84" t="s">
        <v>233</v>
      </c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1"/>
    </row>
    <row r="44" spans="1:26">
      <c r="A44" s="85" t="s">
        <v>256</v>
      </c>
      <c r="B44" s="86">
        <v>85</v>
      </c>
      <c r="C44" s="86" t="s">
        <v>258</v>
      </c>
      <c r="D44" s="86">
        <v>95</v>
      </c>
      <c r="E44" s="87" t="s">
        <v>259</v>
      </c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1"/>
    </row>
    <row r="45" spans="1:26">
      <c r="A45" s="82" t="s">
        <v>256</v>
      </c>
      <c r="B45" s="83">
        <v>85</v>
      </c>
      <c r="C45" s="83" t="s">
        <v>260</v>
      </c>
      <c r="D45" s="83">
        <v>93</v>
      </c>
      <c r="E45" s="84" t="s">
        <v>197</v>
      </c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1"/>
    </row>
    <row r="46" spans="1:26">
      <c r="A46" s="85" t="s">
        <v>256</v>
      </c>
      <c r="B46" s="86">
        <v>85</v>
      </c>
      <c r="C46" s="86" t="s">
        <v>261</v>
      </c>
      <c r="D46" s="86">
        <v>92</v>
      </c>
      <c r="E46" s="87" t="s">
        <v>208</v>
      </c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1"/>
    </row>
    <row r="47" spans="1:26">
      <c r="A47" s="82" t="s">
        <v>256</v>
      </c>
      <c r="B47" s="83">
        <v>85</v>
      </c>
      <c r="C47" s="83" t="s">
        <v>262</v>
      </c>
      <c r="D47" s="83">
        <v>90</v>
      </c>
      <c r="E47" s="84" t="s">
        <v>233</v>
      </c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1"/>
    </row>
    <row r="48" spans="1:26">
      <c r="A48" s="85" t="s">
        <v>263</v>
      </c>
      <c r="B48" s="86">
        <v>85</v>
      </c>
      <c r="C48" s="86" t="s">
        <v>264</v>
      </c>
      <c r="D48" s="86">
        <v>98</v>
      </c>
      <c r="E48" s="87" t="s">
        <v>226</v>
      </c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1"/>
    </row>
    <row r="49" spans="1:26">
      <c r="A49" s="82" t="s">
        <v>263</v>
      </c>
      <c r="B49" s="83">
        <v>85</v>
      </c>
      <c r="C49" s="83" t="s">
        <v>265</v>
      </c>
      <c r="D49" s="83">
        <v>97</v>
      </c>
      <c r="E49" s="84" t="s">
        <v>266</v>
      </c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1"/>
    </row>
    <row r="50" spans="1:26">
      <c r="A50" s="85" t="s">
        <v>263</v>
      </c>
      <c r="B50" s="86">
        <v>85</v>
      </c>
      <c r="C50" s="86" t="s">
        <v>267</v>
      </c>
      <c r="D50" s="86">
        <v>96</v>
      </c>
      <c r="E50" s="87" t="s">
        <v>233</v>
      </c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1"/>
    </row>
    <row r="51" spans="1:26">
      <c r="A51" s="82" t="s">
        <v>263</v>
      </c>
      <c r="B51" s="83">
        <v>85</v>
      </c>
      <c r="C51" s="83" t="s">
        <v>268</v>
      </c>
      <c r="D51" s="83">
        <v>93</v>
      </c>
      <c r="E51" s="84" t="s">
        <v>197</v>
      </c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1"/>
    </row>
    <row r="52" spans="1:26">
      <c r="A52" s="85" t="s">
        <v>263</v>
      </c>
      <c r="B52" s="86">
        <v>85</v>
      </c>
      <c r="C52" s="86" t="s">
        <v>269</v>
      </c>
      <c r="D52" s="86">
        <v>92</v>
      </c>
      <c r="E52" s="87" t="s">
        <v>205</v>
      </c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1"/>
    </row>
    <row r="53" spans="1:26">
      <c r="A53" s="82" t="s">
        <v>270</v>
      </c>
      <c r="B53" s="83">
        <v>84</v>
      </c>
      <c r="C53" s="83" t="s">
        <v>271</v>
      </c>
      <c r="D53" s="83">
        <v>96</v>
      </c>
      <c r="E53" s="84" t="s">
        <v>259</v>
      </c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1"/>
    </row>
    <row r="54" spans="1:26">
      <c r="A54" s="85" t="s">
        <v>270</v>
      </c>
      <c r="B54" s="86">
        <v>84</v>
      </c>
      <c r="C54" s="86" t="s">
        <v>272</v>
      </c>
      <c r="D54" s="86">
        <v>95</v>
      </c>
      <c r="E54" s="87" t="s">
        <v>233</v>
      </c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1"/>
    </row>
    <row r="55" spans="1:26">
      <c r="A55" s="82" t="s">
        <v>270</v>
      </c>
      <c r="B55" s="83">
        <v>84</v>
      </c>
      <c r="C55" s="83" t="s">
        <v>273</v>
      </c>
      <c r="D55" s="83">
        <v>93</v>
      </c>
      <c r="E55" s="84" t="s">
        <v>215</v>
      </c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1"/>
    </row>
    <row r="56" spans="1:26">
      <c r="A56" s="85" t="s">
        <v>270</v>
      </c>
      <c r="B56" s="86">
        <v>84</v>
      </c>
      <c r="C56" s="86" t="s">
        <v>274</v>
      </c>
      <c r="D56" s="86">
        <v>90</v>
      </c>
      <c r="E56" s="87" t="s">
        <v>197</v>
      </c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1"/>
    </row>
    <row r="57" spans="1:26">
      <c r="A57" s="82" t="s">
        <v>270</v>
      </c>
      <c r="B57" s="83">
        <v>84</v>
      </c>
      <c r="C57" s="83" t="s">
        <v>275</v>
      </c>
      <c r="D57" s="83">
        <v>89</v>
      </c>
      <c r="E57" s="84" t="s">
        <v>199</v>
      </c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1"/>
    </row>
    <row r="58" spans="1:26">
      <c r="A58" s="85" t="s">
        <v>276</v>
      </c>
      <c r="B58" s="86">
        <v>82</v>
      </c>
      <c r="C58" s="86" t="s">
        <v>277</v>
      </c>
      <c r="D58" s="86">
        <v>93</v>
      </c>
      <c r="E58" s="87" t="s">
        <v>205</v>
      </c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1"/>
    </row>
    <row r="59" spans="1:26">
      <c r="A59" s="82" t="s">
        <v>276</v>
      </c>
      <c r="B59" s="83">
        <v>82</v>
      </c>
      <c r="C59" s="83" t="s">
        <v>278</v>
      </c>
      <c r="D59" s="83">
        <v>91</v>
      </c>
      <c r="E59" s="84" t="s">
        <v>226</v>
      </c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1"/>
    </row>
    <row r="60" spans="1:26">
      <c r="A60" s="85" t="s">
        <v>276</v>
      </c>
      <c r="B60" s="86">
        <v>82</v>
      </c>
      <c r="C60" s="86" t="s">
        <v>279</v>
      </c>
      <c r="D60" s="86">
        <v>89</v>
      </c>
      <c r="E60" s="87" t="s">
        <v>197</v>
      </c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1"/>
    </row>
    <row r="61" spans="1:26">
      <c r="A61" s="82" t="s">
        <v>276</v>
      </c>
      <c r="B61" s="83">
        <v>82</v>
      </c>
      <c r="C61" s="83" t="s">
        <v>280</v>
      </c>
      <c r="D61" s="83">
        <v>88</v>
      </c>
      <c r="E61" s="84" t="s">
        <v>208</v>
      </c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1"/>
    </row>
    <row r="62" spans="1:26">
      <c r="A62" s="85" t="s">
        <v>276</v>
      </c>
      <c r="B62" s="86">
        <v>82</v>
      </c>
      <c r="C62" s="86" t="s">
        <v>281</v>
      </c>
      <c r="D62" s="86">
        <v>87</v>
      </c>
      <c r="E62" s="87" t="s">
        <v>201</v>
      </c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1"/>
    </row>
    <row r="63" spans="1:26">
      <c r="A63" s="82" t="s">
        <v>282</v>
      </c>
      <c r="B63" s="83">
        <v>82</v>
      </c>
      <c r="C63" s="83" t="s">
        <v>283</v>
      </c>
      <c r="D63" s="83">
        <v>92</v>
      </c>
      <c r="E63" s="84" t="s">
        <v>197</v>
      </c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1"/>
    </row>
    <row r="64" spans="1:26">
      <c r="A64" s="85" t="s">
        <v>282</v>
      </c>
      <c r="B64" s="86">
        <v>82</v>
      </c>
      <c r="C64" s="86" t="s">
        <v>284</v>
      </c>
      <c r="D64" s="86">
        <v>94</v>
      </c>
      <c r="E64" s="87" t="s">
        <v>210</v>
      </c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1"/>
    </row>
    <row r="65" spans="1:26">
      <c r="A65" s="82" t="s">
        <v>282</v>
      </c>
      <c r="B65" s="83">
        <v>82</v>
      </c>
      <c r="C65" s="83" t="s">
        <v>285</v>
      </c>
      <c r="D65" s="83">
        <v>91</v>
      </c>
      <c r="E65" s="84" t="s">
        <v>215</v>
      </c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1"/>
    </row>
    <row r="66" spans="1:26">
      <c r="A66" s="85" t="s">
        <v>282</v>
      </c>
      <c r="B66" s="86">
        <v>82</v>
      </c>
      <c r="C66" s="86" t="s">
        <v>286</v>
      </c>
      <c r="D66" s="86">
        <v>89</v>
      </c>
      <c r="E66" s="87" t="s">
        <v>215</v>
      </c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1"/>
    </row>
    <row r="67" spans="1:26">
      <c r="A67" s="82" t="s">
        <v>282</v>
      </c>
      <c r="B67" s="83">
        <v>82</v>
      </c>
      <c r="C67" s="83" t="s">
        <v>287</v>
      </c>
      <c r="D67" s="83">
        <v>92</v>
      </c>
      <c r="E67" s="84" t="s">
        <v>233</v>
      </c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1"/>
    </row>
    <row r="68" spans="1:26">
      <c r="A68" s="85" t="s">
        <v>288</v>
      </c>
      <c r="B68" s="86">
        <v>81</v>
      </c>
      <c r="C68" s="86" t="s">
        <v>289</v>
      </c>
      <c r="D68" s="86">
        <v>92</v>
      </c>
      <c r="E68" s="87" t="s">
        <v>197</v>
      </c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1"/>
    </row>
    <row r="69" spans="1:26">
      <c r="A69" s="82" t="s">
        <v>288</v>
      </c>
      <c r="B69" s="83">
        <v>81</v>
      </c>
      <c r="C69" s="83" t="s">
        <v>290</v>
      </c>
      <c r="D69" s="83">
        <v>92</v>
      </c>
      <c r="E69" s="84" t="s">
        <v>233</v>
      </c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1"/>
    </row>
    <row r="70" spans="1:26">
      <c r="A70" s="85" t="s">
        <v>288</v>
      </c>
      <c r="B70" s="86">
        <v>81</v>
      </c>
      <c r="C70" s="86" t="s">
        <v>291</v>
      </c>
      <c r="D70" s="86">
        <v>90</v>
      </c>
      <c r="E70" s="87" t="s">
        <v>233</v>
      </c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1"/>
    </row>
    <row r="71" spans="1:26">
      <c r="A71" s="82" t="s">
        <v>288</v>
      </c>
      <c r="B71" s="83">
        <v>81</v>
      </c>
      <c r="C71" s="83" t="s">
        <v>292</v>
      </c>
      <c r="D71" s="83">
        <v>89</v>
      </c>
      <c r="E71" s="84" t="s">
        <v>208</v>
      </c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1"/>
    </row>
    <row r="72" spans="1:26">
      <c r="A72" s="85" t="s">
        <v>288</v>
      </c>
      <c r="B72" s="86">
        <v>81</v>
      </c>
      <c r="C72" s="86" t="s">
        <v>293</v>
      </c>
      <c r="D72" s="86">
        <v>88</v>
      </c>
      <c r="E72" s="87" t="s">
        <v>201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1"/>
    </row>
    <row r="73" spans="1:26">
      <c r="A73" s="82" t="s">
        <v>183</v>
      </c>
      <c r="B73" s="83">
        <v>79</v>
      </c>
      <c r="C73" s="83" t="s">
        <v>294</v>
      </c>
      <c r="D73" s="83">
        <v>93</v>
      </c>
      <c r="E73" s="84" t="s">
        <v>205</v>
      </c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1"/>
    </row>
    <row r="74" spans="1:26">
      <c r="A74" s="85" t="s">
        <v>183</v>
      </c>
      <c r="B74" s="86">
        <v>79</v>
      </c>
      <c r="C74" s="86" t="s">
        <v>295</v>
      </c>
      <c r="D74" s="86">
        <v>90</v>
      </c>
      <c r="E74" s="87" t="s">
        <v>215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1"/>
    </row>
    <row r="75" spans="1:26">
      <c r="A75" s="82" t="s">
        <v>183</v>
      </c>
      <c r="B75" s="83">
        <v>79</v>
      </c>
      <c r="C75" s="83" t="s">
        <v>296</v>
      </c>
      <c r="D75" s="83">
        <v>89</v>
      </c>
      <c r="E75" s="84" t="s">
        <v>233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1"/>
    </row>
    <row r="76" spans="1:26">
      <c r="A76" s="85" t="s">
        <v>183</v>
      </c>
      <c r="B76" s="86">
        <v>79</v>
      </c>
      <c r="C76" s="86" t="s">
        <v>297</v>
      </c>
      <c r="D76" s="86">
        <v>89</v>
      </c>
      <c r="E76" s="87" t="s">
        <v>233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1"/>
    </row>
    <row r="77" spans="1:26">
      <c r="A77" s="82" t="s">
        <v>183</v>
      </c>
      <c r="B77" s="83">
        <v>79</v>
      </c>
      <c r="C77" s="83" t="s">
        <v>298</v>
      </c>
      <c r="D77" s="83">
        <v>87</v>
      </c>
      <c r="E77" s="84" t="s">
        <v>212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1"/>
    </row>
    <row r="78" spans="1:26">
      <c r="A78" s="85" t="s">
        <v>299</v>
      </c>
      <c r="B78" s="86">
        <v>80</v>
      </c>
      <c r="C78" s="86" t="s">
        <v>300</v>
      </c>
      <c r="D78" s="86">
        <v>99</v>
      </c>
      <c r="E78" s="87" t="s">
        <v>233</v>
      </c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1"/>
    </row>
    <row r="79" spans="1:26">
      <c r="A79" s="82" t="s">
        <v>299</v>
      </c>
      <c r="B79" s="83">
        <v>80</v>
      </c>
      <c r="C79" s="83" t="s">
        <v>301</v>
      </c>
      <c r="D79" s="83">
        <v>92</v>
      </c>
      <c r="E79" s="84" t="s">
        <v>210</v>
      </c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1"/>
    </row>
    <row r="80" spans="1:26">
      <c r="A80" s="85" t="s">
        <v>299</v>
      </c>
      <c r="B80" s="86">
        <v>80</v>
      </c>
      <c r="C80" s="86" t="s">
        <v>302</v>
      </c>
      <c r="D80" s="86">
        <v>90</v>
      </c>
      <c r="E80" s="87" t="s">
        <v>303</v>
      </c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1"/>
    </row>
    <row r="81" spans="1:26">
      <c r="A81" s="82" t="s">
        <v>299</v>
      </c>
      <c r="B81" s="83">
        <v>80</v>
      </c>
      <c r="C81" s="83" t="s">
        <v>304</v>
      </c>
      <c r="D81" s="83">
        <v>89</v>
      </c>
      <c r="E81" s="84" t="s">
        <v>199</v>
      </c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1"/>
    </row>
    <row r="82" spans="1:26">
      <c r="A82" s="85" t="s">
        <v>299</v>
      </c>
      <c r="B82" s="86">
        <v>80</v>
      </c>
      <c r="C82" s="86" t="s">
        <v>305</v>
      </c>
      <c r="D82" s="86">
        <v>88</v>
      </c>
      <c r="E82" s="87" t="s">
        <v>208</v>
      </c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1"/>
    </row>
    <row r="83" spans="1:26">
      <c r="A83" s="82" t="s">
        <v>306</v>
      </c>
      <c r="B83" s="83">
        <v>81</v>
      </c>
      <c r="C83" s="83" t="s">
        <v>307</v>
      </c>
      <c r="D83" s="83">
        <v>97</v>
      </c>
      <c r="E83" s="88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1"/>
    </row>
    <row r="84" spans="1:26">
      <c r="A84" s="85" t="s">
        <v>306</v>
      </c>
      <c r="B84" s="86">
        <v>81</v>
      </c>
      <c r="C84" s="86" t="s">
        <v>308</v>
      </c>
      <c r="D84" s="86">
        <v>94</v>
      </c>
      <c r="E84" s="89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1"/>
    </row>
    <row r="85" spans="1:26">
      <c r="A85" s="82" t="s">
        <v>306</v>
      </c>
      <c r="B85" s="83">
        <v>81</v>
      </c>
      <c r="C85" s="83" t="s">
        <v>309</v>
      </c>
      <c r="D85" s="83">
        <v>92</v>
      </c>
      <c r="E85" s="88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1"/>
    </row>
    <row r="86" spans="1:26">
      <c r="A86" s="85" t="s">
        <v>306</v>
      </c>
      <c r="B86" s="86">
        <v>81</v>
      </c>
      <c r="C86" s="86" t="s">
        <v>310</v>
      </c>
      <c r="D86" s="86">
        <v>89</v>
      </c>
      <c r="E86" s="89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1"/>
    </row>
    <row r="87" spans="1:26">
      <c r="A87" s="82" t="s">
        <v>306</v>
      </c>
      <c r="B87" s="83">
        <v>81</v>
      </c>
      <c r="C87" s="83" t="s">
        <v>311</v>
      </c>
      <c r="D87" s="83">
        <v>88</v>
      </c>
      <c r="E87" s="88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1"/>
    </row>
    <row r="88" spans="1:26">
      <c r="A88" s="85" t="s">
        <v>312</v>
      </c>
      <c r="B88" s="86">
        <v>80</v>
      </c>
      <c r="C88" s="86" t="s">
        <v>313</v>
      </c>
      <c r="D88" s="86">
        <v>93</v>
      </c>
      <c r="E88" s="89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1"/>
    </row>
    <row r="89" spans="1:26">
      <c r="A89" s="82" t="s">
        <v>312</v>
      </c>
      <c r="B89" s="83">
        <v>80</v>
      </c>
      <c r="C89" s="83" t="s">
        <v>314</v>
      </c>
      <c r="D89" s="83">
        <v>91</v>
      </c>
      <c r="E89" s="88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1"/>
    </row>
    <row r="90" spans="1:26">
      <c r="A90" s="85" t="s">
        <v>312</v>
      </c>
      <c r="B90" s="86">
        <v>80</v>
      </c>
      <c r="C90" s="86" t="s">
        <v>315</v>
      </c>
      <c r="D90" s="86">
        <v>89</v>
      </c>
      <c r="E90" s="89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1"/>
    </row>
    <row r="91" spans="1:26">
      <c r="A91" s="82" t="s">
        <v>312</v>
      </c>
      <c r="B91" s="83">
        <v>80</v>
      </c>
      <c r="C91" s="83" t="s">
        <v>316</v>
      </c>
      <c r="D91" s="83">
        <v>89</v>
      </c>
      <c r="E91" s="88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1"/>
    </row>
    <row r="92" spans="1:26">
      <c r="A92" s="85" t="s">
        <v>312</v>
      </c>
      <c r="B92" s="86">
        <v>80</v>
      </c>
      <c r="C92" s="86" t="s">
        <v>317</v>
      </c>
      <c r="D92" s="86">
        <v>88</v>
      </c>
      <c r="E92" s="89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1"/>
    </row>
    <row r="93" spans="1:26">
      <c r="A93" s="82" t="s">
        <v>318</v>
      </c>
      <c r="B93" s="83">
        <v>81</v>
      </c>
      <c r="C93" s="83" t="s">
        <v>319</v>
      </c>
      <c r="D93" s="83">
        <v>95</v>
      </c>
      <c r="E93" s="88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1"/>
    </row>
    <row r="94" spans="1:26">
      <c r="A94" s="85" t="s">
        <v>318</v>
      </c>
      <c r="B94" s="86">
        <v>81</v>
      </c>
      <c r="C94" s="86" t="s">
        <v>320</v>
      </c>
      <c r="D94" s="86">
        <v>92</v>
      </c>
      <c r="E94" s="89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1"/>
    </row>
    <row r="95" spans="1:26">
      <c r="A95" s="82" t="s">
        <v>318</v>
      </c>
      <c r="B95" s="83">
        <v>81</v>
      </c>
      <c r="C95" s="83" t="s">
        <v>321</v>
      </c>
      <c r="D95" s="83">
        <v>92</v>
      </c>
      <c r="E95" s="88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1"/>
    </row>
    <row r="96" spans="1:26">
      <c r="A96" s="85" t="s">
        <v>318</v>
      </c>
      <c r="B96" s="86">
        <v>81</v>
      </c>
      <c r="C96" s="86" t="s">
        <v>322</v>
      </c>
      <c r="D96" s="86">
        <v>90</v>
      </c>
      <c r="E96" s="89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1"/>
    </row>
    <row r="97" spans="1:26">
      <c r="A97" s="82" t="s">
        <v>318</v>
      </c>
      <c r="B97" s="83">
        <v>81</v>
      </c>
      <c r="C97" s="83" t="s">
        <v>323</v>
      </c>
      <c r="D97" s="83">
        <v>89</v>
      </c>
      <c r="E97" s="88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1"/>
    </row>
    <row r="98" spans="1:26">
      <c r="A98" s="85" t="s">
        <v>324</v>
      </c>
      <c r="B98" s="86">
        <v>76</v>
      </c>
      <c r="C98" s="86" t="s">
        <v>325</v>
      </c>
      <c r="D98" s="86">
        <v>92</v>
      </c>
      <c r="E98" s="89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1"/>
    </row>
    <row r="99" spans="1:26">
      <c r="A99" s="82" t="s">
        <v>324</v>
      </c>
      <c r="B99" s="83">
        <v>76</v>
      </c>
      <c r="C99" s="83" t="s">
        <v>326</v>
      </c>
      <c r="D99" s="83">
        <v>87</v>
      </c>
      <c r="E99" s="88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1"/>
    </row>
    <row r="100" spans="1:26">
      <c r="A100" s="85" t="s">
        <v>324</v>
      </c>
      <c r="B100" s="86">
        <v>76</v>
      </c>
      <c r="C100" s="86" t="s">
        <v>327</v>
      </c>
      <c r="D100" s="86">
        <v>86</v>
      </c>
      <c r="E100" s="89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1"/>
    </row>
    <row r="101" spans="1:26">
      <c r="A101" s="82" t="s">
        <v>324</v>
      </c>
      <c r="B101" s="83">
        <v>76</v>
      </c>
      <c r="C101" s="83" t="s">
        <v>328</v>
      </c>
      <c r="D101" s="83">
        <v>84</v>
      </c>
      <c r="E101" s="88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1"/>
    </row>
    <row r="102" spans="1:26">
      <c r="A102" s="85" t="s">
        <v>324</v>
      </c>
      <c r="B102" s="86">
        <v>76</v>
      </c>
      <c r="C102" s="86" t="s">
        <v>329</v>
      </c>
      <c r="D102" s="86">
        <v>84</v>
      </c>
      <c r="E102" s="89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1"/>
    </row>
    <row r="103" spans="1:26">
      <c r="A103" s="82" t="s">
        <v>330</v>
      </c>
      <c r="B103" s="83">
        <v>77</v>
      </c>
      <c r="C103" s="83" t="s">
        <v>331</v>
      </c>
      <c r="D103" s="83">
        <v>96</v>
      </c>
      <c r="E103" s="88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1"/>
    </row>
    <row r="104" spans="1:26">
      <c r="A104" s="85" t="s">
        <v>330</v>
      </c>
      <c r="B104" s="86">
        <v>77</v>
      </c>
      <c r="C104" s="86" t="s">
        <v>332</v>
      </c>
      <c r="D104" s="86">
        <v>92</v>
      </c>
      <c r="E104" s="89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1"/>
    </row>
    <row r="105" spans="1:26">
      <c r="A105" s="82" t="s">
        <v>330</v>
      </c>
      <c r="B105" s="83">
        <v>77</v>
      </c>
      <c r="C105" s="83" t="s">
        <v>333</v>
      </c>
      <c r="D105" s="83">
        <v>89</v>
      </c>
      <c r="E105" s="88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1"/>
    </row>
    <row r="106" spans="1:26">
      <c r="A106" s="85" t="s">
        <v>330</v>
      </c>
      <c r="B106" s="86">
        <v>77</v>
      </c>
      <c r="C106" s="86" t="s">
        <v>334</v>
      </c>
      <c r="D106" s="86">
        <v>86</v>
      </c>
      <c r="E106" s="89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1"/>
    </row>
    <row r="107" spans="1:26">
      <c r="A107" s="82" t="s">
        <v>330</v>
      </c>
      <c r="B107" s="83">
        <v>77</v>
      </c>
      <c r="C107" s="83" t="s">
        <v>335</v>
      </c>
      <c r="D107" s="83">
        <v>85</v>
      </c>
      <c r="E107" s="88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1"/>
    </row>
    <row r="108" spans="1:26">
      <c r="A108" s="85" t="s">
        <v>336</v>
      </c>
      <c r="B108" s="86">
        <v>78</v>
      </c>
      <c r="C108" s="86" t="s">
        <v>337</v>
      </c>
      <c r="D108" s="86">
        <v>90</v>
      </c>
      <c r="E108" s="89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1"/>
    </row>
    <row r="109" spans="1:26">
      <c r="A109" s="82" t="s">
        <v>336</v>
      </c>
      <c r="B109" s="83">
        <v>78</v>
      </c>
      <c r="C109" s="83" t="s">
        <v>338</v>
      </c>
      <c r="D109" s="83">
        <v>89</v>
      </c>
      <c r="E109" s="88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1"/>
    </row>
    <row r="110" spans="1:26">
      <c r="A110" s="85" t="s">
        <v>336</v>
      </c>
      <c r="B110" s="86">
        <v>78</v>
      </c>
      <c r="C110" s="86" t="s">
        <v>339</v>
      </c>
      <c r="D110" s="86">
        <v>88</v>
      </c>
      <c r="E110" s="89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1"/>
    </row>
    <row r="111" spans="1:26">
      <c r="A111" s="82" t="s">
        <v>336</v>
      </c>
      <c r="B111" s="83">
        <v>78</v>
      </c>
      <c r="C111" s="83" t="s">
        <v>340</v>
      </c>
      <c r="D111" s="83">
        <v>86</v>
      </c>
      <c r="E111" s="88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1"/>
    </row>
    <row r="112" spans="1:26">
      <c r="A112" s="85" t="s">
        <v>336</v>
      </c>
      <c r="B112" s="86">
        <v>78</v>
      </c>
      <c r="C112" s="86" t="s">
        <v>341</v>
      </c>
      <c r="D112" s="86">
        <v>85</v>
      </c>
      <c r="E112" s="89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1"/>
    </row>
    <row r="113" spans="1:26">
      <c r="A113" s="82" t="s">
        <v>342</v>
      </c>
      <c r="B113" s="83">
        <v>83</v>
      </c>
      <c r="C113" s="83" t="s">
        <v>343</v>
      </c>
      <c r="D113" s="83">
        <v>97</v>
      </c>
      <c r="E113" s="88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1"/>
    </row>
    <row r="114" spans="1:26">
      <c r="A114" s="85" t="s">
        <v>342</v>
      </c>
      <c r="B114" s="86">
        <v>83</v>
      </c>
      <c r="C114" s="86" t="s">
        <v>344</v>
      </c>
      <c r="D114" s="86">
        <v>96</v>
      </c>
      <c r="E114" s="89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1"/>
    </row>
    <row r="115" spans="1:26">
      <c r="A115" s="82" t="s">
        <v>342</v>
      </c>
      <c r="B115" s="83">
        <v>83</v>
      </c>
      <c r="C115" s="83" t="s">
        <v>345</v>
      </c>
      <c r="D115" s="83">
        <v>92</v>
      </c>
      <c r="E115" s="88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1"/>
    </row>
    <row r="116" spans="1:26">
      <c r="A116" s="85" t="s">
        <v>342</v>
      </c>
      <c r="B116" s="86">
        <v>83</v>
      </c>
      <c r="C116" s="86" t="s">
        <v>346</v>
      </c>
      <c r="D116" s="86">
        <v>91</v>
      </c>
      <c r="E116" s="89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1"/>
    </row>
    <row r="117" spans="1:26">
      <c r="A117" s="82" t="s">
        <v>342</v>
      </c>
      <c r="B117" s="83">
        <v>83</v>
      </c>
      <c r="C117" s="83" t="s">
        <v>347</v>
      </c>
      <c r="D117" s="83">
        <v>90</v>
      </c>
      <c r="E117" s="88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1"/>
    </row>
    <row r="118" spans="1:26">
      <c r="A118" s="85" t="s">
        <v>348</v>
      </c>
      <c r="B118" s="86">
        <v>78</v>
      </c>
      <c r="C118" s="86" t="s">
        <v>349</v>
      </c>
      <c r="D118" s="86">
        <v>89</v>
      </c>
      <c r="E118" s="89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1"/>
    </row>
    <row r="119" spans="1:26">
      <c r="A119" s="82" t="s">
        <v>348</v>
      </c>
      <c r="B119" s="83">
        <v>78</v>
      </c>
      <c r="C119" s="83" t="s">
        <v>350</v>
      </c>
      <c r="D119" s="83">
        <v>88</v>
      </c>
      <c r="E119" s="88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1"/>
    </row>
    <row r="120" spans="1:26">
      <c r="A120" s="85" t="s">
        <v>348</v>
      </c>
      <c r="B120" s="86">
        <v>78</v>
      </c>
      <c r="C120" s="86" t="s">
        <v>351</v>
      </c>
      <c r="D120" s="86">
        <v>87</v>
      </c>
      <c r="E120" s="89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1"/>
    </row>
    <row r="121" spans="1:26">
      <c r="A121" s="82" t="s">
        <v>348</v>
      </c>
      <c r="B121" s="83">
        <v>78</v>
      </c>
      <c r="C121" s="83" t="s">
        <v>352</v>
      </c>
      <c r="D121" s="83">
        <v>86</v>
      </c>
      <c r="E121" s="88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1"/>
    </row>
    <row r="122" spans="1:26">
      <c r="A122" s="85" t="s">
        <v>348</v>
      </c>
      <c r="B122" s="86">
        <v>78</v>
      </c>
      <c r="C122" s="86" t="s">
        <v>353</v>
      </c>
      <c r="D122" s="86">
        <v>86</v>
      </c>
      <c r="E122" s="89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1"/>
    </row>
    <row r="123" spans="1:26">
      <c r="A123" s="82" t="s">
        <v>354</v>
      </c>
      <c r="B123" s="83">
        <v>80</v>
      </c>
      <c r="C123" s="83" t="s">
        <v>355</v>
      </c>
      <c r="D123" s="83">
        <v>93</v>
      </c>
      <c r="E123" s="88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1"/>
    </row>
    <row r="124" spans="1:26">
      <c r="A124" s="85" t="s">
        <v>354</v>
      </c>
      <c r="B124" s="86">
        <v>80</v>
      </c>
      <c r="C124" s="86" t="s">
        <v>356</v>
      </c>
      <c r="D124" s="86">
        <v>92</v>
      </c>
      <c r="E124" s="89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1"/>
    </row>
    <row r="125" spans="1:26">
      <c r="A125" s="82" t="s">
        <v>354</v>
      </c>
      <c r="B125" s="83">
        <v>80</v>
      </c>
      <c r="C125" s="83" t="s">
        <v>357</v>
      </c>
      <c r="D125" s="83">
        <v>90</v>
      </c>
      <c r="E125" s="88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1"/>
    </row>
    <row r="126" spans="1:26">
      <c r="A126" s="85" t="s">
        <v>354</v>
      </c>
      <c r="B126" s="86">
        <v>80</v>
      </c>
      <c r="C126" s="86" t="s">
        <v>358</v>
      </c>
      <c r="D126" s="86">
        <v>88</v>
      </c>
      <c r="E126" s="89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1"/>
    </row>
    <row r="127" spans="1:26">
      <c r="A127" s="82" t="s">
        <v>354</v>
      </c>
      <c r="B127" s="83">
        <v>80</v>
      </c>
      <c r="C127" s="83" t="s">
        <v>359</v>
      </c>
      <c r="D127" s="83">
        <v>87</v>
      </c>
      <c r="E127" s="88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1"/>
    </row>
    <row r="128" spans="1:26">
      <c r="A128" s="85" t="s">
        <v>360</v>
      </c>
      <c r="B128" s="86">
        <v>78</v>
      </c>
      <c r="C128" s="86" t="s">
        <v>361</v>
      </c>
      <c r="D128" s="86">
        <v>92</v>
      </c>
      <c r="E128" s="89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1"/>
    </row>
    <row r="129" spans="1:26">
      <c r="A129" s="82" t="s">
        <v>360</v>
      </c>
      <c r="B129" s="83">
        <v>78</v>
      </c>
      <c r="C129" s="83" t="s">
        <v>362</v>
      </c>
      <c r="D129" s="83">
        <v>91</v>
      </c>
      <c r="E129" s="88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1"/>
    </row>
    <row r="130" spans="1:26">
      <c r="A130" s="85" t="s">
        <v>360</v>
      </c>
      <c r="B130" s="86">
        <v>78</v>
      </c>
      <c r="C130" s="86" t="s">
        <v>363</v>
      </c>
      <c r="D130" s="86">
        <v>88</v>
      </c>
      <c r="E130" s="89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1"/>
    </row>
    <row r="131" spans="1:26">
      <c r="A131" s="82" t="s">
        <v>360</v>
      </c>
      <c r="B131" s="83">
        <v>78</v>
      </c>
      <c r="C131" s="83" t="s">
        <v>364</v>
      </c>
      <c r="D131" s="83">
        <v>87</v>
      </c>
      <c r="E131" s="88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1"/>
    </row>
    <row r="132" spans="1:26">
      <c r="A132" s="85" t="s">
        <v>360</v>
      </c>
      <c r="B132" s="86">
        <v>78</v>
      </c>
      <c r="C132" s="86" t="s">
        <v>365</v>
      </c>
      <c r="D132" s="86">
        <v>87</v>
      </c>
      <c r="E132" s="89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1"/>
    </row>
    <row r="133" spans="1:26">
      <c r="A133" s="82" t="s">
        <v>366</v>
      </c>
      <c r="B133" s="83">
        <v>80</v>
      </c>
      <c r="C133" s="83" t="s">
        <v>367</v>
      </c>
      <c r="D133" s="83">
        <v>93</v>
      </c>
      <c r="E133" s="88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1"/>
    </row>
    <row r="134" spans="1:26">
      <c r="A134" s="85" t="s">
        <v>366</v>
      </c>
      <c r="B134" s="86">
        <v>80</v>
      </c>
      <c r="C134" s="86" t="s">
        <v>368</v>
      </c>
      <c r="D134" s="86">
        <v>89</v>
      </c>
      <c r="E134" s="89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1"/>
    </row>
    <row r="135" spans="1:26">
      <c r="A135" s="82" t="s">
        <v>366</v>
      </c>
      <c r="B135" s="83">
        <v>80</v>
      </c>
      <c r="C135" s="83" t="s">
        <v>369</v>
      </c>
      <c r="D135" s="83">
        <v>88</v>
      </c>
      <c r="E135" s="88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1"/>
    </row>
    <row r="136" spans="1:26">
      <c r="A136" s="85" t="s">
        <v>366</v>
      </c>
      <c r="B136" s="86">
        <v>80</v>
      </c>
      <c r="C136" s="86" t="s">
        <v>370</v>
      </c>
      <c r="D136" s="86">
        <v>87</v>
      </c>
      <c r="E136" s="89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1"/>
    </row>
    <row r="137" spans="1:26">
      <c r="A137" s="82" t="s">
        <v>366</v>
      </c>
      <c r="B137" s="83">
        <v>80</v>
      </c>
      <c r="C137" s="83" t="s">
        <v>371</v>
      </c>
      <c r="D137" s="83">
        <v>86</v>
      </c>
      <c r="E137" s="88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1"/>
    </row>
    <row r="138" spans="1:26">
      <c r="A138" s="85" t="s">
        <v>372</v>
      </c>
      <c r="B138" s="86">
        <v>81</v>
      </c>
      <c r="C138" s="86" t="s">
        <v>373</v>
      </c>
      <c r="D138" s="86">
        <v>92</v>
      </c>
      <c r="E138" s="89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1"/>
    </row>
    <row r="139" spans="1:26">
      <c r="A139" s="82" t="s">
        <v>372</v>
      </c>
      <c r="B139" s="83">
        <v>81</v>
      </c>
      <c r="C139" s="83" t="s">
        <v>374</v>
      </c>
      <c r="D139" s="83">
        <v>91</v>
      </c>
      <c r="E139" s="88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1"/>
    </row>
    <row r="140" spans="1:26">
      <c r="A140" s="85" t="s">
        <v>372</v>
      </c>
      <c r="B140" s="86">
        <v>81</v>
      </c>
      <c r="C140" s="86" t="s">
        <v>375</v>
      </c>
      <c r="D140" s="86">
        <v>90</v>
      </c>
      <c r="E140" s="89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1"/>
    </row>
    <row r="141" spans="1:26">
      <c r="A141" s="82" t="s">
        <v>372</v>
      </c>
      <c r="B141" s="83">
        <v>81</v>
      </c>
      <c r="C141" s="83" t="s">
        <v>376</v>
      </c>
      <c r="D141" s="83">
        <v>89</v>
      </c>
      <c r="E141" s="88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1"/>
    </row>
    <row r="142" spans="1:26">
      <c r="A142" s="85" t="s">
        <v>372</v>
      </c>
      <c r="B142" s="86">
        <v>81</v>
      </c>
      <c r="C142" s="86" t="s">
        <v>377</v>
      </c>
      <c r="D142" s="86">
        <v>89</v>
      </c>
      <c r="E142" s="89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1"/>
    </row>
    <row r="143" spans="1:26">
      <c r="A143" s="82" t="s">
        <v>378</v>
      </c>
      <c r="B143" s="83">
        <v>79</v>
      </c>
      <c r="C143" s="83" t="s">
        <v>379</v>
      </c>
      <c r="D143" s="83">
        <v>98</v>
      </c>
      <c r="E143" s="88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1"/>
    </row>
    <row r="144" spans="1:26">
      <c r="A144" s="85" t="s">
        <v>378</v>
      </c>
      <c r="B144" s="86">
        <v>79</v>
      </c>
      <c r="C144" s="86" t="s">
        <v>380</v>
      </c>
      <c r="D144" s="86">
        <v>96</v>
      </c>
      <c r="E144" s="89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1"/>
    </row>
    <row r="145" spans="1:26">
      <c r="A145" s="82" t="s">
        <v>378</v>
      </c>
      <c r="B145" s="83">
        <v>79</v>
      </c>
      <c r="C145" s="83" t="s">
        <v>381</v>
      </c>
      <c r="D145" s="83">
        <v>91</v>
      </c>
      <c r="E145" s="88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1"/>
    </row>
    <row r="146" spans="1:26">
      <c r="A146" s="85" t="s">
        <v>378</v>
      </c>
      <c r="B146" s="86">
        <v>79</v>
      </c>
      <c r="C146" s="86" t="s">
        <v>382</v>
      </c>
      <c r="D146" s="86">
        <v>88</v>
      </c>
      <c r="E146" s="89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1"/>
    </row>
    <row r="147" spans="1:26">
      <c r="A147" s="82" t="s">
        <v>378</v>
      </c>
      <c r="B147" s="83">
        <v>79</v>
      </c>
      <c r="C147" s="83" t="s">
        <v>383</v>
      </c>
      <c r="D147" s="83">
        <v>84</v>
      </c>
      <c r="E147" s="88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1"/>
    </row>
    <row r="148" spans="1:26">
      <c r="A148" s="85" t="s">
        <v>384</v>
      </c>
      <c r="B148" s="86">
        <v>77</v>
      </c>
      <c r="C148" s="86" t="s">
        <v>385</v>
      </c>
      <c r="D148" s="86">
        <v>95</v>
      </c>
      <c r="E148" s="89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1"/>
    </row>
    <row r="149" spans="1:26">
      <c r="A149" s="82" t="s">
        <v>384</v>
      </c>
      <c r="B149" s="83">
        <v>77</v>
      </c>
      <c r="C149" s="83" t="s">
        <v>386</v>
      </c>
      <c r="D149" s="83">
        <v>90</v>
      </c>
      <c r="E149" s="88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1"/>
    </row>
    <row r="150" spans="1:26">
      <c r="A150" s="85" t="s">
        <v>384</v>
      </c>
      <c r="B150" s="86">
        <v>77</v>
      </c>
      <c r="C150" s="86" t="s">
        <v>387</v>
      </c>
      <c r="D150" s="86">
        <v>84</v>
      </c>
      <c r="E150" s="89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1"/>
    </row>
    <row r="151" spans="1:26">
      <c r="A151" s="82" t="s">
        <v>384</v>
      </c>
      <c r="B151" s="83">
        <v>77</v>
      </c>
      <c r="C151" s="83" t="s">
        <v>388</v>
      </c>
      <c r="D151" s="83">
        <v>83</v>
      </c>
      <c r="E151" s="88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1"/>
    </row>
    <row r="152" spans="1:26">
      <c r="A152" s="85" t="s">
        <v>384</v>
      </c>
      <c r="B152" s="86">
        <v>77</v>
      </c>
      <c r="C152" s="86" t="s">
        <v>389</v>
      </c>
      <c r="D152" s="86">
        <v>82</v>
      </c>
      <c r="E152" s="89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1"/>
    </row>
    <row r="153" spans="1:26">
      <c r="A153" s="82" t="s">
        <v>390</v>
      </c>
      <c r="B153" s="83">
        <v>80</v>
      </c>
      <c r="C153" s="83" t="s">
        <v>391</v>
      </c>
      <c r="D153" s="83">
        <v>89</v>
      </c>
      <c r="E153" s="88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1"/>
    </row>
    <row r="154" spans="1:26">
      <c r="A154" s="85" t="s">
        <v>390</v>
      </c>
      <c r="B154" s="86">
        <v>80</v>
      </c>
      <c r="C154" s="86" t="s">
        <v>392</v>
      </c>
      <c r="D154" s="86">
        <v>88</v>
      </c>
      <c r="E154" s="89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1"/>
    </row>
    <row r="155" spans="1:26">
      <c r="A155" s="82" t="s">
        <v>390</v>
      </c>
      <c r="B155" s="83">
        <v>80</v>
      </c>
      <c r="C155" s="83" t="s">
        <v>393</v>
      </c>
      <c r="D155" s="83">
        <v>88</v>
      </c>
      <c r="E155" s="88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1"/>
    </row>
    <row r="156" spans="1:26">
      <c r="A156" s="85" t="s">
        <v>390</v>
      </c>
      <c r="B156" s="86">
        <v>80</v>
      </c>
      <c r="C156" s="86" t="s">
        <v>394</v>
      </c>
      <c r="D156" s="86">
        <v>87</v>
      </c>
      <c r="E156" s="89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1"/>
    </row>
    <row r="157" spans="1:26">
      <c r="A157" s="82" t="s">
        <v>390</v>
      </c>
      <c r="B157" s="83">
        <v>80</v>
      </c>
      <c r="C157" s="83" t="s">
        <v>395</v>
      </c>
      <c r="D157" s="83">
        <v>87</v>
      </c>
      <c r="E157" s="88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1"/>
    </row>
    <row r="158" spans="1:26">
      <c r="A158" s="85" t="s">
        <v>396</v>
      </c>
      <c r="B158" s="86">
        <v>77</v>
      </c>
      <c r="C158" s="86" t="s">
        <v>397</v>
      </c>
      <c r="D158" s="86">
        <v>91</v>
      </c>
      <c r="E158" s="89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1"/>
    </row>
    <row r="159" spans="1:26">
      <c r="A159" s="82" t="s">
        <v>396</v>
      </c>
      <c r="B159" s="83">
        <v>77</v>
      </c>
      <c r="C159" s="83" t="s">
        <v>398</v>
      </c>
      <c r="D159" s="83">
        <v>88</v>
      </c>
      <c r="E159" s="88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1"/>
    </row>
    <row r="160" spans="1:26">
      <c r="A160" s="85" t="s">
        <v>396</v>
      </c>
      <c r="B160" s="86">
        <v>77</v>
      </c>
      <c r="C160" s="86" t="s">
        <v>399</v>
      </c>
      <c r="D160" s="86">
        <v>87</v>
      </c>
      <c r="E160" s="89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1"/>
    </row>
    <row r="161" spans="1:26">
      <c r="A161" s="82" t="s">
        <v>396</v>
      </c>
      <c r="B161" s="83">
        <v>77</v>
      </c>
      <c r="C161" s="83" t="s">
        <v>400</v>
      </c>
      <c r="D161" s="83">
        <v>86</v>
      </c>
      <c r="E161" s="88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1"/>
    </row>
    <row r="162" spans="1:26">
      <c r="A162" s="90" t="s">
        <v>396</v>
      </c>
      <c r="B162" s="91">
        <v>77</v>
      </c>
      <c r="C162" s="91" t="s">
        <v>401</v>
      </c>
      <c r="D162" s="91">
        <v>85</v>
      </c>
      <c r="E162" s="92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1"/>
    </row>
    <row r="163" spans="1:26">
      <c r="A163" s="93"/>
      <c r="B163" s="94"/>
      <c r="C163" s="94"/>
      <c r="D163" s="94"/>
      <c r="E163" s="95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1"/>
    </row>
    <row r="164" spans="1:26">
      <c r="A164" s="96"/>
      <c r="B164" s="97"/>
      <c r="C164" s="97"/>
      <c r="D164" s="97"/>
      <c r="E164" s="98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1"/>
    </row>
    <row r="165" spans="1:26">
      <c r="A165" s="93"/>
      <c r="B165" s="94"/>
      <c r="C165" s="94"/>
      <c r="D165" s="94"/>
      <c r="E165" s="95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1"/>
    </row>
    <row r="166" spans="1:26">
      <c r="A166" s="96"/>
      <c r="B166" s="97"/>
      <c r="C166" s="97"/>
      <c r="D166" s="97"/>
      <c r="E166" s="98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1"/>
    </row>
    <row r="167" spans="1:26">
      <c r="A167" s="93"/>
      <c r="B167" s="94"/>
      <c r="C167" s="94"/>
      <c r="D167" s="94"/>
      <c r="E167" s="95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1"/>
    </row>
    <row r="168" spans="1:26">
      <c r="A168" s="96"/>
      <c r="B168" s="97"/>
      <c r="C168" s="97"/>
      <c r="D168" s="97"/>
      <c r="E168" s="98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1"/>
    </row>
    <row r="169" spans="1:26">
      <c r="A169" s="93"/>
      <c r="B169" s="94"/>
      <c r="C169" s="94"/>
      <c r="D169" s="94"/>
      <c r="E169" s="95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1"/>
    </row>
    <row r="170" spans="1:26">
      <c r="A170" s="96"/>
      <c r="B170" s="97"/>
      <c r="C170" s="97"/>
      <c r="D170" s="97"/>
      <c r="E170" s="98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1"/>
    </row>
    <row r="171" spans="1:26">
      <c r="A171" s="93"/>
      <c r="B171" s="94"/>
      <c r="C171" s="94"/>
      <c r="D171" s="94"/>
      <c r="E171" s="95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1"/>
    </row>
    <row r="172" spans="1:26">
      <c r="A172" s="96"/>
      <c r="B172" s="97"/>
      <c r="C172" s="97"/>
      <c r="D172" s="97"/>
      <c r="E172" s="98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1"/>
    </row>
    <row r="173" spans="1:26">
      <c r="A173" s="93"/>
      <c r="B173" s="94"/>
      <c r="C173" s="94"/>
      <c r="D173" s="94"/>
      <c r="E173" s="95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1"/>
    </row>
    <row r="174" spans="1:26">
      <c r="A174" s="96"/>
      <c r="B174" s="97"/>
      <c r="C174" s="97"/>
      <c r="D174" s="97"/>
      <c r="E174" s="98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1"/>
    </row>
    <row r="175" spans="1:26">
      <c r="A175" s="93"/>
      <c r="B175" s="94"/>
      <c r="C175" s="94"/>
      <c r="D175" s="94"/>
      <c r="E175" s="95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1"/>
    </row>
    <row r="176" spans="1:26">
      <c r="A176" s="96"/>
      <c r="B176" s="97"/>
      <c r="C176" s="97"/>
      <c r="D176" s="97"/>
      <c r="E176" s="98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1"/>
    </row>
    <row r="177" spans="1:26">
      <c r="A177" s="93"/>
      <c r="B177" s="94"/>
      <c r="C177" s="94"/>
      <c r="D177" s="94"/>
      <c r="E177" s="95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1"/>
    </row>
    <row r="178" spans="1:26">
      <c r="A178" s="96"/>
      <c r="B178" s="97"/>
      <c r="C178" s="97"/>
      <c r="D178" s="97"/>
      <c r="E178" s="98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1"/>
    </row>
    <row r="179" spans="1:26">
      <c r="A179" s="93"/>
      <c r="B179" s="94"/>
      <c r="C179" s="94"/>
      <c r="D179" s="94"/>
      <c r="E179" s="95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1"/>
    </row>
    <row r="180" spans="1:26">
      <c r="A180" s="96"/>
      <c r="B180" s="97"/>
      <c r="C180" s="97"/>
      <c r="D180" s="97"/>
      <c r="E180" s="98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1"/>
    </row>
    <row r="181" spans="1:26">
      <c r="A181" s="93"/>
      <c r="B181" s="94"/>
      <c r="C181" s="94"/>
      <c r="D181" s="94"/>
      <c r="E181" s="95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1"/>
    </row>
    <row r="182" spans="1:26">
      <c r="A182" s="96"/>
      <c r="B182" s="97"/>
      <c r="C182" s="97"/>
      <c r="D182" s="97"/>
      <c r="E182" s="98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1"/>
    </row>
    <row r="183" spans="1:26">
      <c r="A183" s="93"/>
      <c r="B183" s="94"/>
      <c r="C183" s="94"/>
      <c r="D183" s="94"/>
      <c r="E183" s="95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1"/>
    </row>
    <row r="184" spans="1:26">
      <c r="A184" s="96"/>
      <c r="B184" s="97"/>
      <c r="C184" s="97"/>
      <c r="D184" s="97"/>
      <c r="E184" s="98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1"/>
    </row>
    <row r="185" spans="1:26">
      <c r="A185" s="93"/>
      <c r="B185" s="94"/>
      <c r="C185" s="94"/>
      <c r="D185" s="94"/>
      <c r="E185" s="95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1"/>
    </row>
    <row r="186" spans="1:26">
      <c r="A186" s="96"/>
      <c r="B186" s="97"/>
      <c r="C186" s="97"/>
      <c r="D186" s="97"/>
      <c r="E186" s="98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1"/>
    </row>
    <row r="187" spans="1:26">
      <c r="A187" s="93"/>
      <c r="B187" s="94"/>
      <c r="C187" s="94"/>
      <c r="D187" s="94"/>
      <c r="E187" s="95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1"/>
    </row>
    <row r="188" spans="1:26">
      <c r="A188" s="96"/>
      <c r="B188" s="97"/>
      <c r="C188" s="97"/>
      <c r="D188" s="97"/>
      <c r="E188" s="98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1"/>
    </row>
    <row r="189" spans="1:26">
      <c r="A189" s="93"/>
      <c r="B189" s="94"/>
      <c r="C189" s="94"/>
      <c r="D189" s="94"/>
      <c r="E189" s="95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1"/>
    </row>
    <row r="190" spans="1:26">
      <c r="A190" s="96"/>
      <c r="B190" s="97"/>
      <c r="C190" s="97"/>
      <c r="D190" s="97"/>
      <c r="E190" s="98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1"/>
    </row>
    <row r="191" spans="1:26">
      <c r="A191" s="93"/>
      <c r="B191" s="94"/>
      <c r="C191" s="94"/>
      <c r="D191" s="94"/>
      <c r="E191" s="95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1"/>
    </row>
    <row r="192" spans="1:26">
      <c r="A192" s="96"/>
      <c r="B192" s="97"/>
      <c r="C192" s="97"/>
      <c r="D192" s="97"/>
      <c r="E192" s="98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1"/>
    </row>
    <row r="193" spans="1:26">
      <c r="A193" s="93"/>
      <c r="B193" s="94"/>
      <c r="C193" s="94"/>
      <c r="D193" s="94"/>
      <c r="E193" s="95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1"/>
    </row>
    <row r="194" spans="1:26">
      <c r="A194" s="96"/>
      <c r="B194" s="97"/>
      <c r="C194" s="97"/>
      <c r="D194" s="97"/>
      <c r="E194" s="98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1"/>
    </row>
    <row r="195" spans="1:26">
      <c r="A195" s="93"/>
      <c r="B195" s="94"/>
      <c r="C195" s="94"/>
      <c r="D195" s="94"/>
      <c r="E195" s="95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1"/>
    </row>
    <row r="196" spans="1:26">
      <c r="A196" s="96"/>
      <c r="B196" s="97"/>
      <c r="C196" s="97"/>
      <c r="D196" s="97"/>
      <c r="E196" s="98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1"/>
    </row>
    <row r="197" spans="1:26">
      <c r="A197" s="93"/>
      <c r="B197" s="94"/>
      <c r="C197" s="94"/>
      <c r="D197" s="94"/>
      <c r="E197" s="95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1"/>
    </row>
    <row r="198" spans="1:26">
      <c r="A198" s="96"/>
      <c r="B198" s="97"/>
      <c r="C198" s="97"/>
      <c r="D198" s="97"/>
      <c r="E198" s="98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1"/>
    </row>
    <row r="199" spans="1:26">
      <c r="A199" s="93"/>
      <c r="B199" s="94"/>
      <c r="C199" s="94"/>
      <c r="D199" s="94"/>
      <c r="E199" s="95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1"/>
    </row>
    <row r="200" spans="1:26">
      <c r="A200" s="96"/>
      <c r="B200" s="97"/>
      <c r="C200" s="97"/>
      <c r="D200" s="97"/>
      <c r="E200" s="98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1"/>
    </row>
    <row r="201" spans="1:26">
      <c r="A201" s="93"/>
      <c r="B201" s="94"/>
      <c r="C201" s="94"/>
      <c r="D201" s="94"/>
      <c r="E201" s="95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1"/>
    </row>
    <row r="202" spans="1:26">
      <c r="A202" s="96"/>
      <c r="B202" s="97"/>
      <c r="C202" s="97"/>
      <c r="D202" s="97"/>
      <c r="E202" s="98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1"/>
    </row>
    <row r="203" spans="1:26">
      <c r="A203" s="93"/>
      <c r="B203" s="94"/>
      <c r="C203" s="94"/>
      <c r="D203" s="94"/>
      <c r="E203" s="95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1"/>
    </row>
    <row r="204" spans="1:26">
      <c r="A204" s="96"/>
      <c r="B204" s="97"/>
      <c r="C204" s="97"/>
      <c r="D204" s="97"/>
      <c r="E204" s="98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1"/>
    </row>
    <row r="205" spans="1:26">
      <c r="A205" s="93"/>
      <c r="B205" s="94"/>
      <c r="C205" s="94"/>
      <c r="D205" s="94"/>
      <c r="E205" s="95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1"/>
    </row>
    <row r="206" spans="1:26">
      <c r="A206" s="96"/>
      <c r="B206" s="97"/>
      <c r="C206" s="97"/>
      <c r="D206" s="97"/>
      <c r="E206" s="98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1"/>
    </row>
    <row r="207" spans="1:26">
      <c r="A207" s="93"/>
      <c r="B207" s="94"/>
      <c r="C207" s="94"/>
      <c r="D207" s="94"/>
      <c r="E207" s="95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1"/>
    </row>
    <row r="208" spans="1:26">
      <c r="A208" s="96"/>
      <c r="B208" s="97"/>
      <c r="C208" s="97"/>
      <c r="D208" s="97"/>
      <c r="E208" s="98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1"/>
    </row>
    <row r="209" spans="1:26">
      <c r="A209" s="93"/>
      <c r="B209" s="94"/>
      <c r="C209" s="94"/>
      <c r="D209" s="94"/>
      <c r="E209" s="95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1"/>
    </row>
    <row r="210" spans="1:26">
      <c r="A210" s="96"/>
      <c r="B210" s="97"/>
      <c r="C210" s="97"/>
      <c r="D210" s="97"/>
      <c r="E210" s="98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1"/>
    </row>
    <row r="211" spans="1:26">
      <c r="A211" s="93"/>
      <c r="B211" s="94"/>
      <c r="C211" s="94"/>
      <c r="D211" s="94"/>
      <c r="E211" s="95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1"/>
    </row>
    <row r="212" spans="1:26">
      <c r="A212" s="96"/>
      <c r="B212" s="97"/>
      <c r="C212" s="97"/>
      <c r="D212" s="97"/>
      <c r="E212" s="98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1"/>
    </row>
    <row r="213" spans="1:26">
      <c r="A213" s="93"/>
      <c r="B213" s="94"/>
      <c r="C213" s="94"/>
      <c r="D213" s="94"/>
      <c r="E213" s="95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1"/>
    </row>
    <row r="214" spans="1:26">
      <c r="A214" s="96"/>
      <c r="B214" s="97"/>
      <c r="C214" s="97"/>
      <c r="D214" s="97"/>
      <c r="E214" s="98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1"/>
    </row>
    <row r="215" spans="1:26">
      <c r="A215" s="93"/>
      <c r="B215" s="94"/>
      <c r="C215" s="94"/>
      <c r="D215" s="94"/>
      <c r="E215" s="95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1"/>
    </row>
    <row r="216" spans="1:26">
      <c r="A216" s="96"/>
      <c r="B216" s="97"/>
      <c r="C216" s="97"/>
      <c r="D216" s="97"/>
      <c r="E216" s="98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1"/>
    </row>
    <row r="217" spans="1:26">
      <c r="A217" s="93"/>
      <c r="B217" s="94"/>
      <c r="C217" s="94"/>
      <c r="D217" s="94"/>
      <c r="E217" s="95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1"/>
    </row>
    <row r="218" spans="1:26">
      <c r="A218" s="96"/>
      <c r="B218" s="97"/>
      <c r="C218" s="97"/>
      <c r="D218" s="97"/>
      <c r="E218" s="98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1"/>
    </row>
    <row r="219" spans="1:26">
      <c r="A219" s="93"/>
      <c r="B219" s="94"/>
      <c r="C219" s="94"/>
      <c r="D219" s="94"/>
      <c r="E219" s="95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1"/>
    </row>
    <row r="220" spans="1:26">
      <c r="A220" s="96"/>
      <c r="B220" s="97"/>
      <c r="C220" s="97"/>
      <c r="D220" s="97"/>
      <c r="E220" s="98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1"/>
    </row>
    <row r="221" spans="1:26">
      <c r="A221" s="93"/>
      <c r="B221" s="94"/>
      <c r="C221" s="94"/>
      <c r="D221" s="94"/>
      <c r="E221" s="95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1"/>
    </row>
    <row r="222" spans="1:26">
      <c r="A222" s="96"/>
      <c r="B222" s="97"/>
      <c r="C222" s="97"/>
      <c r="D222" s="97"/>
      <c r="E222" s="98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1"/>
    </row>
    <row r="223" spans="1:26">
      <c r="A223" s="93"/>
      <c r="B223" s="94"/>
      <c r="C223" s="94"/>
      <c r="D223" s="94"/>
      <c r="E223" s="95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1"/>
    </row>
    <row r="224" spans="1:26">
      <c r="A224" s="96"/>
      <c r="B224" s="97"/>
      <c r="C224" s="97"/>
      <c r="D224" s="97"/>
      <c r="E224" s="98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1"/>
    </row>
    <row r="225" spans="1:26">
      <c r="A225" s="93"/>
      <c r="B225" s="94"/>
      <c r="C225" s="94"/>
      <c r="D225" s="94"/>
      <c r="E225" s="95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1"/>
    </row>
    <row r="226" spans="1:26">
      <c r="A226" s="96"/>
      <c r="B226" s="97"/>
      <c r="C226" s="97"/>
      <c r="D226" s="97"/>
      <c r="E226" s="98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1"/>
    </row>
    <row r="227" spans="1:26">
      <c r="A227" s="93"/>
      <c r="B227" s="94"/>
      <c r="C227" s="94"/>
      <c r="D227" s="94"/>
      <c r="E227" s="95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1"/>
    </row>
    <row r="228" spans="1:26">
      <c r="A228" s="96"/>
      <c r="B228" s="97"/>
      <c r="C228" s="97"/>
      <c r="D228" s="97"/>
      <c r="E228" s="98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1"/>
    </row>
    <row r="229" spans="1:26">
      <c r="A229" s="93"/>
      <c r="B229" s="94"/>
      <c r="C229" s="94"/>
      <c r="D229" s="94"/>
      <c r="E229" s="95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1"/>
    </row>
    <row r="230" spans="1:26">
      <c r="A230" s="96"/>
      <c r="B230" s="97"/>
      <c r="C230" s="97"/>
      <c r="D230" s="97"/>
      <c r="E230" s="98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1"/>
    </row>
    <row r="231" spans="1:26">
      <c r="A231" s="93"/>
      <c r="B231" s="94"/>
      <c r="C231" s="94"/>
      <c r="D231" s="94"/>
      <c r="E231" s="95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1"/>
    </row>
    <row r="232" spans="1:26">
      <c r="A232" s="96"/>
      <c r="B232" s="97"/>
      <c r="C232" s="97"/>
      <c r="D232" s="97"/>
      <c r="E232" s="98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1"/>
    </row>
    <row r="233" spans="1:26">
      <c r="A233" s="93"/>
      <c r="B233" s="94"/>
      <c r="C233" s="94"/>
      <c r="D233" s="94"/>
      <c r="E233" s="95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1"/>
    </row>
    <row r="234" spans="1:26">
      <c r="A234" s="96"/>
      <c r="B234" s="97"/>
      <c r="C234" s="97"/>
      <c r="D234" s="97"/>
      <c r="E234" s="98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1"/>
    </row>
    <row r="235" spans="1:26">
      <c r="A235" s="93"/>
      <c r="B235" s="94"/>
      <c r="C235" s="94"/>
      <c r="D235" s="94"/>
      <c r="E235" s="95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1"/>
    </row>
    <row r="236" spans="1:26">
      <c r="A236" s="96"/>
      <c r="B236" s="97"/>
      <c r="C236" s="97"/>
      <c r="D236" s="97"/>
      <c r="E236" s="98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1"/>
    </row>
    <row r="237" spans="1:26">
      <c r="A237" s="93"/>
      <c r="B237" s="94"/>
      <c r="C237" s="94"/>
      <c r="D237" s="94"/>
      <c r="E237" s="95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1"/>
    </row>
    <row r="238" spans="1:26">
      <c r="A238" s="96"/>
      <c r="B238" s="97"/>
      <c r="C238" s="97"/>
      <c r="D238" s="97"/>
      <c r="E238" s="98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1"/>
    </row>
    <row r="239" spans="1:26">
      <c r="A239" s="93"/>
      <c r="B239" s="94"/>
      <c r="C239" s="94"/>
      <c r="D239" s="94"/>
      <c r="E239" s="95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1"/>
    </row>
    <row r="240" spans="1:26">
      <c r="A240" s="96"/>
      <c r="B240" s="97"/>
      <c r="C240" s="97"/>
      <c r="D240" s="97"/>
      <c r="E240" s="98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1"/>
    </row>
    <row r="241" spans="1:26">
      <c r="A241" s="93"/>
      <c r="B241" s="94"/>
      <c r="C241" s="94"/>
      <c r="D241" s="94"/>
      <c r="E241" s="95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1"/>
    </row>
    <row r="242" spans="1:26">
      <c r="A242" s="96"/>
      <c r="B242" s="97"/>
      <c r="C242" s="97"/>
      <c r="D242" s="97"/>
      <c r="E242" s="98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1"/>
    </row>
    <row r="243" spans="1:26">
      <c r="A243" s="93"/>
      <c r="B243" s="94"/>
      <c r="C243" s="94"/>
      <c r="D243" s="94"/>
      <c r="E243" s="95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1"/>
    </row>
    <row r="244" spans="1:26">
      <c r="A244" s="96"/>
      <c r="B244" s="97"/>
      <c r="C244" s="97"/>
      <c r="D244" s="97"/>
      <c r="E244" s="98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1"/>
    </row>
    <row r="245" spans="1:26">
      <c r="A245" s="93"/>
      <c r="B245" s="94"/>
      <c r="C245" s="94"/>
      <c r="D245" s="94"/>
      <c r="E245" s="95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1"/>
    </row>
    <row r="246" spans="1:26">
      <c r="A246" s="96"/>
      <c r="B246" s="97"/>
      <c r="C246" s="97"/>
      <c r="D246" s="97"/>
      <c r="E246" s="98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1"/>
    </row>
    <row r="247" spans="1:26">
      <c r="A247" s="93"/>
      <c r="B247" s="94"/>
      <c r="C247" s="94"/>
      <c r="D247" s="94"/>
      <c r="E247" s="95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1"/>
    </row>
    <row r="248" spans="1:26">
      <c r="A248" s="96"/>
      <c r="B248" s="97"/>
      <c r="C248" s="97"/>
      <c r="D248" s="97"/>
      <c r="E248" s="98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1"/>
    </row>
    <row r="249" spans="1:26">
      <c r="A249" s="93"/>
      <c r="B249" s="94"/>
      <c r="C249" s="94"/>
      <c r="D249" s="94"/>
      <c r="E249" s="95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1"/>
    </row>
    <row r="250" spans="1:26">
      <c r="A250" s="96"/>
      <c r="B250" s="97"/>
      <c r="C250" s="97"/>
      <c r="D250" s="97"/>
      <c r="E250" s="98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1"/>
    </row>
    <row r="251" spans="1:26">
      <c r="A251" s="93"/>
      <c r="B251" s="94"/>
      <c r="C251" s="94"/>
      <c r="D251" s="94"/>
      <c r="E251" s="95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1"/>
    </row>
    <row r="252" spans="1:26">
      <c r="A252" s="96"/>
      <c r="B252" s="97"/>
      <c r="C252" s="97"/>
      <c r="D252" s="97"/>
      <c r="E252" s="98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1"/>
    </row>
    <row r="253" spans="1:26">
      <c r="A253" s="93"/>
      <c r="B253" s="94"/>
      <c r="C253" s="94"/>
      <c r="D253" s="94"/>
      <c r="E253" s="95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1"/>
    </row>
    <row r="254" spans="1:26">
      <c r="A254" s="96"/>
      <c r="B254" s="97"/>
      <c r="C254" s="97"/>
      <c r="D254" s="97"/>
      <c r="E254" s="98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1"/>
    </row>
    <row r="255" spans="1:26">
      <c r="A255" s="93"/>
      <c r="B255" s="94"/>
      <c r="C255" s="94"/>
      <c r="D255" s="94"/>
      <c r="E255" s="95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1"/>
    </row>
    <row r="256" spans="1:26">
      <c r="A256" s="96"/>
      <c r="B256" s="97"/>
      <c r="C256" s="97"/>
      <c r="D256" s="97"/>
      <c r="E256" s="98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1"/>
    </row>
    <row r="257" spans="1:26">
      <c r="A257" s="93"/>
      <c r="B257" s="94"/>
      <c r="C257" s="94"/>
      <c r="D257" s="94"/>
      <c r="E257" s="95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1"/>
    </row>
    <row r="258" spans="1:26">
      <c r="A258" s="96"/>
      <c r="B258" s="97"/>
      <c r="C258" s="97"/>
      <c r="D258" s="97"/>
      <c r="E258" s="98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1"/>
    </row>
    <row r="259" spans="1:26">
      <c r="A259" s="93"/>
      <c r="B259" s="94"/>
      <c r="C259" s="94"/>
      <c r="D259" s="94"/>
      <c r="E259" s="95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1"/>
    </row>
    <row r="260" spans="1:26">
      <c r="A260" s="96"/>
      <c r="B260" s="97"/>
      <c r="C260" s="97"/>
      <c r="D260" s="97"/>
      <c r="E260" s="98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1"/>
    </row>
    <row r="261" spans="1:26">
      <c r="A261" s="93"/>
      <c r="B261" s="94"/>
      <c r="C261" s="94"/>
      <c r="D261" s="94"/>
      <c r="E261" s="95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1"/>
    </row>
    <row r="262" spans="1:26">
      <c r="A262" s="96"/>
      <c r="B262" s="97"/>
      <c r="C262" s="97"/>
      <c r="D262" s="97"/>
      <c r="E262" s="98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1"/>
    </row>
    <row r="263" spans="1:26">
      <c r="A263" s="93"/>
      <c r="B263" s="94"/>
      <c r="C263" s="94"/>
      <c r="D263" s="94"/>
      <c r="E263" s="95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1"/>
    </row>
    <row r="264" spans="1:26">
      <c r="A264" s="96"/>
      <c r="B264" s="97"/>
      <c r="C264" s="97"/>
      <c r="D264" s="97"/>
      <c r="E264" s="98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1"/>
    </row>
    <row r="265" spans="1:26">
      <c r="A265" s="93"/>
      <c r="B265" s="94"/>
      <c r="C265" s="94"/>
      <c r="D265" s="94"/>
      <c r="E265" s="95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1"/>
    </row>
    <row r="266" spans="1:26">
      <c r="A266" s="96"/>
      <c r="B266" s="97"/>
      <c r="C266" s="97"/>
      <c r="D266" s="97"/>
      <c r="E266" s="98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1"/>
    </row>
    <row r="267" spans="1:26">
      <c r="A267" s="93"/>
      <c r="B267" s="94"/>
      <c r="C267" s="94"/>
      <c r="D267" s="94"/>
      <c r="E267" s="95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1"/>
    </row>
    <row r="268" spans="1:26">
      <c r="A268" s="96"/>
      <c r="B268" s="97"/>
      <c r="C268" s="97"/>
      <c r="D268" s="97"/>
      <c r="E268" s="98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1"/>
    </row>
    <row r="269" spans="1:26">
      <c r="A269" s="93"/>
      <c r="B269" s="94"/>
      <c r="C269" s="94"/>
      <c r="D269" s="94"/>
      <c r="E269" s="95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1"/>
    </row>
    <row r="270" spans="1:26">
      <c r="A270" s="96"/>
      <c r="B270" s="97"/>
      <c r="C270" s="97"/>
      <c r="D270" s="97"/>
      <c r="E270" s="98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1"/>
    </row>
    <row r="271" spans="1:26">
      <c r="A271" s="93"/>
      <c r="B271" s="94"/>
      <c r="C271" s="94"/>
      <c r="D271" s="94"/>
      <c r="E271" s="95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1"/>
    </row>
    <row r="272" spans="1:26">
      <c r="A272" s="96"/>
      <c r="B272" s="97"/>
      <c r="C272" s="97"/>
      <c r="D272" s="97"/>
      <c r="E272" s="98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1"/>
    </row>
    <row r="273" spans="1:26">
      <c r="A273" s="93"/>
      <c r="B273" s="94"/>
      <c r="C273" s="94"/>
      <c r="D273" s="94"/>
      <c r="E273" s="95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1"/>
    </row>
    <row r="274" spans="1:26">
      <c r="A274" s="96"/>
      <c r="B274" s="97"/>
      <c r="C274" s="97"/>
      <c r="D274" s="97"/>
      <c r="E274" s="98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1"/>
    </row>
    <row r="275" spans="1:26">
      <c r="A275" s="93"/>
      <c r="B275" s="94"/>
      <c r="C275" s="94"/>
      <c r="D275" s="94"/>
      <c r="E275" s="95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1"/>
    </row>
    <row r="276" spans="1:26">
      <c r="A276" s="96"/>
      <c r="B276" s="97"/>
      <c r="C276" s="97"/>
      <c r="D276" s="97"/>
      <c r="E276" s="98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1"/>
    </row>
    <row r="277" spans="1:26">
      <c r="A277" s="93"/>
      <c r="B277" s="94"/>
      <c r="C277" s="94"/>
      <c r="D277" s="94"/>
      <c r="E277" s="95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1"/>
    </row>
    <row r="278" spans="1:26">
      <c r="A278" s="96"/>
      <c r="B278" s="97"/>
      <c r="C278" s="97"/>
      <c r="D278" s="97"/>
      <c r="E278" s="98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1"/>
    </row>
    <row r="279" spans="1:26">
      <c r="A279" s="93"/>
      <c r="B279" s="94"/>
      <c r="C279" s="94"/>
      <c r="D279" s="94"/>
      <c r="E279" s="95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1"/>
    </row>
    <row r="280" spans="1:26">
      <c r="A280" s="96"/>
      <c r="B280" s="97"/>
      <c r="C280" s="97"/>
      <c r="D280" s="97"/>
      <c r="E280" s="98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1"/>
    </row>
    <row r="281" spans="1:26">
      <c r="A281" s="93"/>
      <c r="B281" s="94"/>
      <c r="C281" s="94"/>
      <c r="D281" s="94"/>
      <c r="E281" s="95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1"/>
    </row>
    <row r="282" spans="1:26">
      <c r="A282" s="96"/>
      <c r="B282" s="97"/>
      <c r="C282" s="97"/>
      <c r="D282" s="97"/>
      <c r="E282" s="98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1"/>
    </row>
    <row r="283" spans="1:26">
      <c r="A283" s="93"/>
      <c r="B283" s="94"/>
      <c r="C283" s="94"/>
      <c r="D283" s="94"/>
      <c r="E283" s="95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1"/>
    </row>
    <row r="284" spans="1:26">
      <c r="A284" s="96"/>
      <c r="B284" s="97"/>
      <c r="C284" s="97"/>
      <c r="D284" s="97"/>
      <c r="E284" s="98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1"/>
    </row>
    <row r="285" spans="1:26">
      <c r="A285" s="93"/>
      <c r="B285" s="94"/>
      <c r="C285" s="94"/>
      <c r="D285" s="94"/>
      <c r="E285" s="95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1"/>
    </row>
    <row r="286" spans="1:26">
      <c r="A286" s="96"/>
      <c r="B286" s="97"/>
      <c r="C286" s="97"/>
      <c r="D286" s="97"/>
      <c r="E286" s="98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1"/>
    </row>
    <row r="287" spans="1:26">
      <c r="A287" s="93"/>
      <c r="B287" s="94"/>
      <c r="C287" s="94"/>
      <c r="D287" s="94"/>
      <c r="E287" s="95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1"/>
    </row>
    <row r="288" spans="1:26">
      <c r="A288" s="96"/>
      <c r="B288" s="97"/>
      <c r="C288" s="97"/>
      <c r="D288" s="97"/>
      <c r="E288" s="98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1"/>
    </row>
    <row r="289" spans="1:26">
      <c r="A289" s="93"/>
      <c r="B289" s="94"/>
      <c r="C289" s="94"/>
      <c r="D289" s="94"/>
      <c r="E289" s="95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1"/>
    </row>
    <row r="290" spans="1:26">
      <c r="A290" s="96"/>
      <c r="B290" s="97"/>
      <c r="C290" s="97"/>
      <c r="D290" s="97"/>
      <c r="E290" s="98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1"/>
    </row>
    <row r="291" spans="1:26">
      <c r="A291" s="93"/>
      <c r="B291" s="94"/>
      <c r="C291" s="94"/>
      <c r="D291" s="94"/>
      <c r="E291" s="95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1"/>
    </row>
    <row r="292" spans="1:26">
      <c r="A292" s="96"/>
      <c r="B292" s="97"/>
      <c r="C292" s="97"/>
      <c r="D292" s="97"/>
      <c r="E292" s="98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1"/>
    </row>
    <row r="293" spans="1:26">
      <c r="A293" s="93"/>
      <c r="B293" s="94"/>
      <c r="C293" s="94"/>
      <c r="D293" s="94"/>
      <c r="E293" s="95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1"/>
    </row>
    <row r="294" spans="1:26">
      <c r="A294" s="96"/>
      <c r="B294" s="97"/>
      <c r="C294" s="97"/>
      <c r="D294" s="97"/>
      <c r="E294" s="98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1"/>
    </row>
    <row r="295" spans="1:26">
      <c r="A295" s="93"/>
      <c r="B295" s="94"/>
      <c r="C295" s="94"/>
      <c r="D295" s="94"/>
      <c r="E295" s="95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1"/>
    </row>
    <row r="296" spans="1:26">
      <c r="A296" s="96"/>
      <c r="B296" s="97"/>
      <c r="C296" s="97"/>
      <c r="D296" s="97"/>
      <c r="E296" s="98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1"/>
    </row>
    <row r="297" spans="1:26">
      <c r="A297" s="93"/>
      <c r="B297" s="94"/>
      <c r="C297" s="94"/>
      <c r="D297" s="94"/>
      <c r="E297" s="95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1"/>
    </row>
    <row r="298" spans="1:26">
      <c r="A298" s="96"/>
      <c r="B298" s="97"/>
      <c r="C298" s="97"/>
      <c r="D298" s="97"/>
      <c r="E298" s="98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1"/>
    </row>
    <row r="299" spans="1:26">
      <c r="A299" s="93"/>
      <c r="B299" s="94"/>
      <c r="C299" s="94"/>
      <c r="D299" s="94"/>
      <c r="E299" s="95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1"/>
    </row>
    <row r="300" spans="1:26">
      <c r="A300" s="96"/>
      <c r="B300" s="97"/>
      <c r="C300" s="97"/>
      <c r="D300" s="97"/>
      <c r="E300" s="98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1"/>
    </row>
    <row r="301" spans="1:26">
      <c r="A301" s="93"/>
      <c r="B301" s="94"/>
      <c r="C301" s="94"/>
      <c r="D301" s="94"/>
      <c r="E301" s="95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1"/>
    </row>
    <row r="302" spans="1:26">
      <c r="A302" s="96"/>
      <c r="B302" s="97"/>
      <c r="C302" s="97"/>
      <c r="D302" s="97"/>
      <c r="E302" s="98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1"/>
    </row>
    <row r="303" spans="1:26">
      <c r="A303" s="93"/>
      <c r="B303" s="94"/>
      <c r="C303" s="94"/>
      <c r="D303" s="94"/>
      <c r="E303" s="95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1"/>
    </row>
    <row r="304" spans="1:26">
      <c r="A304" s="96"/>
      <c r="B304" s="97"/>
      <c r="C304" s="97"/>
      <c r="D304" s="97"/>
      <c r="E304" s="98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1"/>
    </row>
    <row r="305" spans="1:26">
      <c r="A305" s="93"/>
      <c r="B305" s="94"/>
      <c r="C305" s="94"/>
      <c r="D305" s="94"/>
      <c r="E305" s="95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1"/>
    </row>
    <row r="306" spans="1:26">
      <c r="A306" s="96"/>
      <c r="B306" s="97"/>
      <c r="C306" s="97"/>
      <c r="D306" s="97"/>
      <c r="E306" s="98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1"/>
    </row>
    <row r="307" spans="1:26">
      <c r="A307" s="93"/>
      <c r="B307" s="94"/>
      <c r="C307" s="94"/>
      <c r="D307" s="94"/>
      <c r="E307" s="95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1"/>
    </row>
    <row r="308" spans="1:26">
      <c r="A308" s="96"/>
      <c r="B308" s="97"/>
      <c r="C308" s="97"/>
      <c r="D308" s="97"/>
      <c r="E308" s="98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1"/>
    </row>
    <row r="309" spans="1:26">
      <c r="A309" s="93"/>
      <c r="B309" s="94"/>
      <c r="C309" s="94"/>
      <c r="D309" s="94"/>
      <c r="E309" s="95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1"/>
    </row>
    <row r="310" spans="1:26">
      <c r="A310" s="96"/>
      <c r="B310" s="97"/>
      <c r="C310" s="97"/>
      <c r="D310" s="97"/>
      <c r="E310" s="98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1"/>
    </row>
    <row r="311" spans="1:26">
      <c r="A311" s="93"/>
      <c r="B311" s="94"/>
      <c r="C311" s="94"/>
      <c r="D311" s="94"/>
      <c r="E311" s="95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1"/>
    </row>
    <row r="312" spans="1:26">
      <c r="A312" s="96"/>
      <c r="B312" s="97"/>
      <c r="C312" s="97"/>
      <c r="D312" s="97"/>
      <c r="E312" s="98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1"/>
    </row>
    <row r="313" spans="1:26">
      <c r="A313" s="93"/>
      <c r="B313" s="94"/>
      <c r="C313" s="94"/>
      <c r="D313" s="94"/>
      <c r="E313" s="95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1"/>
    </row>
    <row r="314" spans="1:26">
      <c r="A314" s="96"/>
      <c r="B314" s="97"/>
      <c r="C314" s="97"/>
      <c r="D314" s="97"/>
      <c r="E314" s="98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1"/>
    </row>
    <row r="315" spans="1:26">
      <c r="A315" s="93"/>
      <c r="B315" s="94"/>
      <c r="C315" s="94"/>
      <c r="D315" s="94"/>
      <c r="E315" s="95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1"/>
    </row>
    <row r="316" spans="1:26">
      <c r="A316" s="96"/>
      <c r="B316" s="97"/>
      <c r="C316" s="97"/>
      <c r="D316" s="97"/>
      <c r="E316" s="98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1"/>
    </row>
    <row r="317" spans="1:26">
      <c r="A317" s="93"/>
      <c r="B317" s="94"/>
      <c r="C317" s="94"/>
      <c r="D317" s="94"/>
      <c r="E317" s="95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1"/>
    </row>
    <row r="318" spans="1:26">
      <c r="A318" s="96"/>
      <c r="B318" s="97"/>
      <c r="C318" s="97"/>
      <c r="D318" s="97"/>
      <c r="E318" s="98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1"/>
    </row>
    <row r="319" spans="1:26">
      <c r="A319" s="93"/>
      <c r="B319" s="94"/>
      <c r="C319" s="94"/>
      <c r="D319" s="94"/>
      <c r="E319" s="95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1"/>
    </row>
    <row r="320" spans="1:26">
      <c r="A320" s="96"/>
      <c r="B320" s="97"/>
      <c r="C320" s="97"/>
      <c r="D320" s="97"/>
      <c r="E320" s="98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1"/>
    </row>
    <row r="321" spans="1:26">
      <c r="A321" s="99"/>
      <c r="B321" s="100"/>
      <c r="C321" s="100"/>
      <c r="D321" s="100"/>
      <c r="E321" s="101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1"/>
    </row>
    <row r="322" spans="1:26">
      <c r="A322" s="102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1"/>
    </row>
    <row r="323" spans="1:26">
      <c r="A323" s="102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1"/>
    </row>
    <row r="324" spans="1:26">
      <c r="A324" s="102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1"/>
    </row>
    <row r="325" spans="1:26">
      <c r="A325" s="102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1"/>
    </row>
    <row r="326" spans="1:26">
      <c r="A326" s="102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1"/>
    </row>
    <row r="327" spans="1:26">
      <c r="A327" s="102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1"/>
    </row>
    <row r="328" spans="1:26">
      <c r="A328" s="102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1"/>
    </row>
    <row r="329" spans="1:26">
      <c r="A329" s="102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1"/>
    </row>
    <row r="330" spans="1:26">
      <c r="A330" s="102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1"/>
    </row>
    <row r="331" spans="1:26">
      <c r="A331" s="102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1"/>
    </row>
    <row r="332" spans="1:26">
      <c r="A332" s="102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1"/>
    </row>
    <row r="333" spans="1:26">
      <c r="A333" s="102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1"/>
    </row>
    <row r="334" spans="1:26">
      <c r="A334" s="102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1"/>
    </row>
    <row r="335" spans="1:26">
      <c r="A335" s="102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1"/>
    </row>
    <row r="336" spans="1:26">
      <c r="A336" s="102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1"/>
    </row>
    <row r="337" spans="1:26">
      <c r="A337" s="102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1"/>
    </row>
    <row r="338" spans="1:26">
      <c r="A338" s="102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1"/>
    </row>
    <row r="339" spans="1:26">
      <c r="A339" s="102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1"/>
    </row>
    <row r="340" spans="1:26">
      <c r="A340" s="102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1"/>
    </row>
    <row r="341" spans="1:26">
      <c r="A341" s="102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1"/>
    </row>
    <row r="342" spans="1:26">
      <c r="A342" s="102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1"/>
    </row>
    <row r="343" spans="1:26">
      <c r="A343" s="102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1"/>
    </row>
    <row r="344" spans="1:26">
      <c r="A344" s="102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1"/>
    </row>
    <row r="345" spans="1:26">
      <c r="A345" s="102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1"/>
    </row>
    <row r="346" spans="1:26">
      <c r="A346" s="102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1"/>
    </row>
    <row r="347" spans="1:26">
      <c r="A347" s="102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1"/>
    </row>
    <row r="348" spans="1:26">
      <c r="A348" s="102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1"/>
    </row>
    <row r="349" spans="1:26">
      <c r="A349" s="102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1"/>
    </row>
    <row r="350" spans="1:26">
      <c r="A350" s="102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1"/>
    </row>
    <row r="351" spans="1:26">
      <c r="A351" s="102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1"/>
    </row>
    <row r="352" spans="1:26">
      <c r="A352" s="102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1"/>
    </row>
    <row r="353" spans="1:26">
      <c r="A353" s="102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1"/>
    </row>
    <row r="354" spans="1:26">
      <c r="A354" s="102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1"/>
    </row>
    <row r="355" spans="1:26">
      <c r="A355" s="102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1"/>
    </row>
    <row r="356" spans="1:26">
      <c r="A356" s="102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1"/>
    </row>
    <row r="357" spans="1:26">
      <c r="A357" s="102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1"/>
    </row>
    <row r="358" spans="1:26">
      <c r="A358" s="102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1"/>
    </row>
    <row r="359" spans="1:26">
      <c r="A359" s="102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1"/>
    </row>
    <row r="360" spans="1:26">
      <c r="A360" s="102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1"/>
    </row>
    <row r="361" spans="1:26">
      <c r="A361" s="102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1"/>
    </row>
    <row r="362" spans="1:26">
      <c r="A362" s="102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1"/>
    </row>
    <row r="363" spans="1:26">
      <c r="A363" s="102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1"/>
    </row>
    <row r="364" spans="1:26">
      <c r="A364" s="102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1"/>
    </row>
    <row r="365" spans="1:26">
      <c r="A365" s="102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1"/>
    </row>
    <row r="366" spans="1:26">
      <c r="A366" s="102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1"/>
    </row>
    <row r="367" spans="1:26">
      <c r="A367" s="102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1"/>
    </row>
    <row r="368" spans="1:26">
      <c r="A368" s="102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1"/>
    </row>
    <row r="369" spans="1:26">
      <c r="A369" s="102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1"/>
    </row>
    <row r="370" spans="1:26">
      <c r="A370" s="102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1"/>
    </row>
    <row r="371" spans="1:26">
      <c r="A371" s="102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1"/>
    </row>
    <row r="372" spans="1:26">
      <c r="A372" s="102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1"/>
    </row>
    <row r="373" spans="1:26">
      <c r="A373" s="102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1"/>
    </row>
    <row r="374" spans="1:26">
      <c r="A374" s="102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1"/>
    </row>
    <row r="375" spans="1:26">
      <c r="A375" s="102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1"/>
    </row>
    <row r="376" spans="1:26">
      <c r="A376" s="102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1"/>
    </row>
    <row r="377" spans="1:26">
      <c r="A377" s="102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1"/>
    </row>
    <row r="378" spans="1:26">
      <c r="A378" s="102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1"/>
    </row>
    <row r="379" spans="1:26">
      <c r="A379" s="102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1"/>
    </row>
    <row r="380" spans="1:26">
      <c r="A380" s="102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1"/>
    </row>
    <row r="381" spans="1:26">
      <c r="A381" s="102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1"/>
    </row>
    <row r="382" spans="1:26">
      <c r="A382" s="102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1"/>
    </row>
    <row r="383" spans="1:26">
      <c r="A383" s="102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1"/>
    </row>
    <row r="384" spans="1:26">
      <c r="A384" s="102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1"/>
    </row>
    <row r="385" spans="1:26">
      <c r="A385" s="102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1"/>
    </row>
    <row r="386" spans="1:26">
      <c r="A386" s="102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1"/>
    </row>
    <row r="387" spans="1:26">
      <c r="A387" s="102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1"/>
    </row>
    <row r="388" spans="1:26">
      <c r="A388" s="102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1"/>
    </row>
    <row r="389" spans="1:26">
      <c r="A389" s="102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1"/>
    </row>
    <row r="390" spans="1:26">
      <c r="A390" s="102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1"/>
    </row>
    <row r="391" spans="1:26">
      <c r="A391" s="102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1"/>
    </row>
    <row r="392" spans="1:26">
      <c r="A392" s="102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1"/>
    </row>
    <row r="393" spans="1:26">
      <c r="A393" s="102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1"/>
    </row>
    <row r="394" spans="1:26">
      <c r="A394" s="102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1"/>
    </row>
    <row r="395" spans="1:26">
      <c r="A395" s="102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1"/>
    </row>
    <row r="396" spans="1:26">
      <c r="A396" s="102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1"/>
    </row>
    <row r="397" spans="1:26">
      <c r="A397" s="102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1"/>
    </row>
    <row r="398" spans="1:26">
      <c r="A398" s="102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1"/>
    </row>
    <row r="399" spans="1:26">
      <c r="A399" s="102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1"/>
    </row>
    <row r="400" spans="1:26">
      <c r="A400" s="102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1"/>
    </row>
    <row r="401" spans="1:26">
      <c r="A401" s="102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1"/>
    </row>
    <row r="402" spans="1:26">
      <c r="A402" s="102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1"/>
    </row>
    <row r="403" spans="1:26">
      <c r="A403" s="102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1"/>
    </row>
    <row r="404" spans="1:26">
      <c r="A404" s="102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1"/>
    </row>
    <row r="405" spans="1:26">
      <c r="A405" s="102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1"/>
    </row>
    <row r="406" spans="1:26">
      <c r="A406" s="102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1"/>
    </row>
    <row r="407" spans="1:26">
      <c r="A407" s="102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1"/>
    </row>
    <row r="408" spans="1:26">
      <c r="A408" s="102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1"/>
    </row>
    <row r="409" spans="1:26">
      <c r="A409" s="102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1"/>
    </row>
    <row r="410" spans="1:26">
      <c r="A410" s="102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1"/>
    </row>
    <row r="411" spans="1:26">
      <c r="A411" s="102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1"/>
    </row>
    <row r="412" spans="1:26">
      <c r="A412" s="102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1"/>
    </row>
    <row r="413" spans="1:26">
      <c r="A413" s="102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1"/>
    </row>
    <row r="414" spans="1:26">
      <c r="A414" s="102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1"/>
    </row>
    <row r="415" spans="1:26">
      <c r="A415" s="102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1"/>
    </row>
    <row r="416" spans="1:26">
      <c r="A416" s="102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1"/>
    </row>
    <row r="417" spans="1:26">
      <c r="A417" s="102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1"/>
    </row>
    <row r="418" spans="1:26">
      <c r="A418" s="102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1"/>
    </row>
    <row r="419" spans="1:26">
      <c r="A419" s="102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1"/>
    </row>
    <row r="420" spans="1:26">
      <c r="A420" s="102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1"/>
    </row>
    <row r="421" spans="1:26">
      <c r="A421" s="102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1"/>
    </row>
    <row r="422" spans="1:26">
      <c r="A422" s="102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1"/>
    </row>
    <row r="423" spans="1:26">
      <c r="A423" s="102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1"/>
    </row>
    <row r="424" spans="1:26">
      <c r="A424" s="102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1"/>
    </row>
    <row r="425" spans="1:26">
      <c r="A425" s="102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1"/>
    </row>
    <row r="426" spans="1:26">
      <c r="A426" s="102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1"/>
    </row>
    <row r="427" spans="1:26">
      <c r="A427" s="102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1"/>
    </row>
    <row r="428" spans="1:26">
      <c r="A428" s="102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1"/>
    </row>
    <row r="429" spans="1:26">
      <c r="A429" s="102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1"/>
    </row>
    <row r="430" spans="1:26">
      <c r="A430" s="102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1"/>
    </row>
    <row r="431" spans="1:26">
      <c r="A431" s="102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1"/>
    </row>
    <row r="432" spans="1:26">
      <c r="A432" s="102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1"/>
    </row>
    <row r="433" spans="1:26">
      <c r="A433" s="102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1"/>
    </row>
    <row r="434" spans="1:26">
      <c r="A434" s="102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1"/>
    </row>
    <row r="435" spans="1:26">
      <c r="A435" s="102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1"/>
    </row>
    <row r="436" spans="1:26">
      <c r="A436" s="102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1"/>
    </row>
    <row r="437" spans="1:26">
      <c r="A437" s="102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1"/>
    </row>
    <row r="438" spans="1:26">
      <c r="A438" s="102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1"/>
    </row>
    <row r="439" spans="1:26">
      <c r="A439" s="102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1"/>
    </row>
    <row r="440" spans="1:26">
      <c r="A440" s="102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1"/>
    </row>
    <row r="441" spans="1:26">
      <c r="A441" s="102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1"/>
    </row>
    <row r="442" spans="1:26">
      <c r="A442" s="102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1"/>
    </row>
    <row r="443" spans="1:26">
      <c r="A443" s="102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1"/>
    </row>
    <row r="444" spans="1:26">
      <c r="A444" s="102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1"/>
    </row>
    <row r="445" spans="1:26">
      <c r="A445" s="102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1"/>
    </row>
    <row r="446" spans="1:26">
      <c r="A446" s="102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1"/>
    </row>
    <row r="447" spans="1:26">
      <c r="A447" s="102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1"/>
    </row>
    <row r="448" spans="1:26">
      <c r="A448" s="102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1"/>
    </row>
    <row r="449" spans="1:26">
      <c r="A449" s="102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1"/>
    </row>
    <row r="450" spans="1:26">
      <c r="A450" s="102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1"/>
    </row>
    <row r="451" spans="1:26">
      <c r="A451" s="102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1"/>
    </row>
    <row r="452" spans="1:26">
      <c r="A452" s="102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1"/>
    </row>
    <row r="453" spans="1:26">
      <c r="A453" s="102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1"/>
    </row>
    <row r="454" spans="1:26">
      <c r="A454" s="102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1"/>
    </row>
    <row r="455" spans="1:26">
      <c r="A455" s="102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1"/>
    </row>
    <row r="456" spans="1:26">
      <c r="A456" s="102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1"/>
    </row>
    <row r="457" spans="1:26">
      <c r="A457" s="102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1"/>
    </row>
    <row r="458" spans="1:26">
      <c r="A458" s="102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1"/>
    </row>
    <row r="459" spans="1:26">
      <c r="A459" s="102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1"/>
    </row>
    <row r="460" spans="1:26">
      <c r="A460" s="102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1"/>
    </row>
    <row r="461" spans="1:26">
      <c r="A461" s="102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1"/>
    </row>
    <row r="462" spans="1:26">
      <c r="A462" s="102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1"/>
    </row>
    <row r="463" spans="1:26">
      <c r="A463" s="102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1"/>
    </row>
    <row r="464" spans="1:26">
      <c r="A464" s="102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1"/>
    </row>
    <row r="465" spans="1:26">
      <c r="A465" s="102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1"/>
    </row>
    <row r="466" spans="1:26">
      <c r="A466" s="102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1"/>
    </row>
    <row r="467" spans="1:26">
      <c r="A467" s="102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1"/>
    </row>
    <row r="468" spans="1:26">
      <c r="A468" s="102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1"/>
    </row>
    <row r="469" spans="1:26">
      <c r="A469" s="102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1"/>
    </row>
    <row r="470" spans="1:26">
      <c r="A470" s="102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1"/>
    </row>
    <row r="471" spans="1:26">
      <c r="A471" s="102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1"/>
    </row>
    <row r="472" spans="1:26">
      <c r="A472" s="102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1"/>
    </row>
    <row r="473" spans="1:26">
      <c r="A473" s="102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1"/>
    </row>
    <row r="474" spans="1:26">
      <c r="A474" s="102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1"/>
    </row>
    <row r="475" spans="1:26">
      <c r="A475" s="102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1"/>
    </row>
    <row r="476" spans="1:26">
      <c r="A476" s="102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1"/>
    </row>
    <row r="477" spans="1:26">
      <c r="A477" s="102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1"/>
    </row>
    <row r="478" spans="1:26">
      <c r="A478" s="102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1"/>
    </row>
    <row r="479" spans="1:26">
      <c r="A479" s="102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1"/>
    </row>
    <row r="480" spans="1:26">
      <c r="A480" s="102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1"/>
    </row>
    <row r="481" spans="1:26">
      <c r="A481" s="102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1"/>
    </row>
    <row r="482" spans="1:26">
      <c r="A482" s="102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1"/>
    </row>
    <row r="483" spans="1:26">
      <c r="A483" s="102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1"/>
    </row>
    <row r="484" spans="1:26">
      <c r="A484" s="102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1"/>
    </row>
    <row r="485" spans="1:26">
      <c r="A485" s="102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1"/>
    </row>
    <row r="486" spans="1:26">
      <c r="A486" s="102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1"/>
    </row>
    <row r="487" spans="1:26">
      <c r="A487" s="102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1"/>
    </row>
    <row r="488" spans="1:26">
      <c r="A488" s="102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1"/>
    </row>
    <row r="489" spans="1:26">
      <c r="A489" s="102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1"/>
    </row>
    <row r="490" spans="1:26">
      <c r="A490" s="102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1"/>
    </row>
    <row r="491" spans="1:26">
      <c r="A491" s="102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1"/>
    </row>
    <row r="492" spans="1:26">
      <c r="A492" s="102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1"/>
    </row>
    <row r="493" spans="1:26">
      <c r="A493" s="102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1"/>
    </row>
    <row r="494" spans="1:26">
      <c r="A494" s="102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1"/>
    </row>
    <row r="495" spans="1:26">
      <c r="A495" s="102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1"/>
    </row>
    <row r="496" spans="1:26">
      <c r="A496" s="102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1"/>
    </row>
    <row r="497" spans="1:26">
      <c r="A497" s="102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1"/>
    </row>
    <row r="498" spans="1:26">
      <c r="A498" s="102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1"/>
    </row>
    <row r="499" spans="1:26">
      <c r="A499" s="102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1"/>
    </row>
    <row r="500" spans="1:26">
      <c r="A500" s="102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1"/>
    </row>
    <row r="501" spans="1:26">
      <c r="A501" s="102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1"/>
    </row>
    <row r="502" spans="1:26">
      <c r="A502" s="102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1"/>
    </row>
    <row r="503" spans="1:26">
      <c r="A503" s="102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1"/>
    </row>
    <row r="504" spans="1:26">
      <c r="A504" s="102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1"/>
    </row>
    <row r="505" spans="1:26">
      <c r="A505" s="102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1"/>
    </row>
    <row r="506" spans="1:26">
      <c r="A506" s="102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1"/>
    </row>
    <row r="507" spans="1:26">
      <c r="A507" s="102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1"/>
    </row>
    <row r="508" spans="1:26">
      <c r="A508" s="102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1"/>
    </row>
    <row r="509" spans="1:26">
      <c r="A509" s="102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1"/>
    </row>
    <row r="510" spans="1:26">
      <c r="A510" s="102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1"/>
    </row>
    <row r="511" spans="1:26">
      <c r="A511" s="102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1"/>
    </row>
    <row r="512" spans="1:26">
      <c r="A512" s="102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1"/>
    </row>
    <row r="513" spans="1:26">
      <c r="A513" s="102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1"/>
    </row>
    <row r="514" spans="1:26">
      <c r="A514" s="102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1"/>
    </row>
    <row r="515" spans="1:26">
      <c r="A515" s="102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1"/>
    </row>
    <row r="516" spans="1:26">
      <c r="A516" s="102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1"/>
    </row>
    <row r="517" spans="1:26">
      <c r="A517" s="102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1"/>
    </row>
    <row r="518" spans="1:26">
      <c r="A518" s="102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1"/>
    </row>
    <row r="519" spans="1:26">
      <c r="A519" s="102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1"/>
    </row>
    <row r="520" spans="1:26">
      <c r="A520" s="102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1"/>
    </row>
    <row r="521" spans="1:26">
      <c r="A521" s="102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1"/>
    </row>
    <row r="522" spans="1:26">
      <c r="A522" s="102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1"/>
    </row>
    <row r="523" spans="1:26">
      <c r="A523" s="102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1"/>
    </row>
    <row r="524" spans="1:26">
      <c r="A524" s="102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1"/>
    </row>
    <row r="525" spans="1:26">
      <c r="A525" s="102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1"/>
    </row>
    <row r="526" spans="1:26">
      <c r="A526" s="102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1"/>
    </row>
    <row r="527" spans="1:26">
      <c r="A527" s="102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1"/>
    </row>
    <row r="528" spans="1:26">
      <c r="A528" s="102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1"/>
    </row>
    <row r="529" spans="1:26">
      <c r="A529" s="102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1"/>
    </row>
    <row r="530" spans="1:26">
      <c r="A530" s="102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1"/>
    </row>
    <row r="531" spans="1:26">
      <c r="A531" s="102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1"/>
    </row>
    <row r="532" spans="1:26">
      <c r="A532" s="102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1"/>
    </row>
    <row r="533" spans="1:26">
      <c r="A533" s="102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1"/>
    </row>
    <row r="534" spans="1:26">
      <c r="A534" s="102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1"/>
    </row>
    <row r="535" spans="1:26">
      <c r="A535" s="102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1"/>
    </row>
    <row r="536" spans="1:26">
      <c r="A536" s="102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1"/>
    </row>
    <row r="537" spans="1:26">
      <c r="A537" s="102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1"/>
    </row>
    <row r="538" spans="1:26">
      <c r="A538" s="102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1"/>
    </row>
    <row r="539" spans="1:26">
      <c r="A539" s="102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1"/>
    </row>
    <row r="540" spans="1:26">
      <c r="A540" s="102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1"/>
    </row>
    <row r="541" spans="1:26">
      <c r="A541" s="102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1"/>
    </row>
    <row r="542" spans="1:26">
      <c r="A542" s="102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1"/>
    </row>
    <row r="543" spans="1:26">
      <c r="A543" s="102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1"/>
    </row>
    <row r="544" spans="1:26">
      <c r="A544" s="102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1"/>
    </row>
    <row r="545" spans="1:26">
      <c r="A545" s="102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1"/>
    </row>
    <row r="546" spans="1:26">
      <c r="A546" s="102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1"/>
    </row>
    <row r="547" spans="1:26">
      <c r="A547" s="102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1"/>
    </row>
    <row r="548" spans="1:26">
      <c r="A548" s="102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1"/>
    </row>
    <row r="549" spans="1:26">
      <c r="A549" s="102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1"/>
    </row>
    <row r="550" spans="1:26">
      <c r="A550" s="102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1"/>
    </row>
    <row r="551" spans="1:26">
      <c r="A551" s="102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1"/>
    </row>
    <row r="552" spans="1:26">
      <c r="A552" s="102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1"/>
    </row>
    <row r="553" spans="1:26">
      <c r="A553" s="102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1"/>
    </row>
    <row r="554" spans="1:26">
      <c r="A554" s="102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1"/>
    </row>
    <row r="555" spans="1:26">
      <c r="A555" s="102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1"/>
    </row>
    <row r="556" spans="1:26">
      <c r="A556" s="102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1"/>
    </row>
    <row r="557" spans="1:26">
      <c r="A557" s="102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1"/>
    </row>
    <row r="558" spans="1:26">
      <c r="A558" s="102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1"/>
    </row>
    <row r="559" spans="1:26">
      <c r="A559" s="102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1"/>
    </row>
    <row r="560" spans="1:26">
      <c r="A560" s="102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1"/>
    </row>
    <row r="561" spans="1:26">
      <c r="A561" s="102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1"/>
    </row>
    <row r="562" spans="1:26">
      <c r="A562" s="102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1"/>
    </row>
    <row r="563" spans="1:26">
      <c r="A563" s="102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1"/>
    </row>
    <row r="564" spans="1:26">
      <c r="A564" s="102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1"/>
    </row>
    <row r="565" spans="1:26">
      <c r="A565" s="102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1"/>
    </row>
    <row r="566" spans="1:26">
      <c r="A566" s="102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1"/>
    </row>
    <row r="567" spans="1:26">
      <c r="A567" s="102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1"/>
    </row>
    <row r="568" spans="1:26">
      <c r="A568" s="102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1"/>
    </row>
    <row r="569" spans="1:26">
      <c r="A569" s="102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1"/>
    </row>
    <row r="570" spans="1:26">
      <c r="A570" s="102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1"/>
    </row>
    <row r="571" spans="1:26">
      <c r="A571" s="102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1"/>
    </row>
    <row r="572" spans="1:26">
      <c r="A572" s="102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1"/>
    </row>
    <row r="573" spans="1:26">
      <c r="A573" s="102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1"/>
    </row>
    <row r="574" spans="1:26">
      <c r="A574" s="102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1"/>
    </row>
    <row r="575" spans="1:26">
      <c r="A575" s="102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1"/>
    </row>
    <row r="576" spans="1:26">
      <c r="A576" s="102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1"/>
    </row>
    <row r="577" spans="1:26">
      <c r="A577" s="102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1"/>
    </row>
    <row r="578" spans="1:26">
      <c r="A578" s="102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1"/>
    </row>
    <row r="579" spans="1:26">
      <c r="A579" s="102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1"/>
    </row>
    <row r="580" spans="1:26">
      <c r="A580" s="102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1"/>
    </row>
    <row r="581" spans="1:26">
      <c r="A581" s="102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1"/>
    </row>
    <row r="582" spans="1:26">
      <c r="A582" s="102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1"/>
    </row>
    <row r="583" spans="1:26">
      <c r="A583" s="102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1"/>
    </row>
    <row r="584" spans="1:26">
      <c r="A584" s="102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1"/>
    </row>
    <row r="585" spans="1:26">
      <c r="A585" s="102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1"/>
    </row>
    <row r="586" spans="1:26">
      <c r="A586" s="102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1"/>
    </row>
    <row r="587" spans="1:26">
      <c r="A587" s="102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1"/>
    </row>
    <row r="588" spans="1:26">
      <c r="A588" s="102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1"/>
    </row>
    <row r="589" spans="1:26">
      <c r="A589" s="102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1"/>
    </row>
    <row r="590" spans="1:26">
      <c r="A590" s="102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1"/>
    </row>
    <row r="591" spans="1:26">
      <c r="A591" s="102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1"/>
    </row>
    <row r="592" spans="1:26">
      <c r="A592" s="102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1"/>
    </row>
    <row r="593" spans="1:26">
      <c r="A593" s="102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1"/>
    </row>
    <row r="594" spans="1:26">
      <c r="A594" s="102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1"/>
    </row>
    <row r="595" spans="1:26">
      <c r="A595" s="102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1"/>
    </row>
    <row r="596" spans="1:26">
      <c r="A596" s="102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1"/>
    </row>
    <row r="597" spans="1:26">
      <c r="A597" s="102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1"/>
    </row>
    <row r="598" spans="1:26">
      <c r="A598" s="102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1"/>
    </row>
    <row r="599" spans="1:26">
      <c r="A599" s="102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1"/>
    </row>
    <row r="600" spans="1:26">
      <c r="A600" s="102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1"/>
    </row>
    <row r="601" spans="1:26">
      <c r="A601" s="102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1"/>
    </row>
    <row r="602" spans="1:26">
      <c r="A602" s="102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1"/>
    </row>
    <row r="603" spans="1:26">
      <c r="A603" s="102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1"/>
    </row>
    <row r="604" spans="1:26">
      <c r="A604" s="102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1"/>
    </row>
    <row r="605" spans="1:26">
      <c r="A605" s="102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1"/>
    </row>
    <row r="606" spans="1:26">
      <c r="A606" s="102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1"/>
    </row>
    <row r="607" spans="1:26">
      <c r="A607" s="102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1"/>
    </row>
    <row r="608" spans="1:26">
      <c r="A608" s="102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1"/>
    </row>
    <row r="609" spans="1:26">
      <c r="A609" s="102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1"/>
    </row>
    <row r="610" spans="1:26">
      <c r="A610" s="102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1"/>
    </row>
    <row r="611" spans="1:26">
      <c r="A611" s="102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1"/>
    </row>
    <row r="612" spans="1:26">
      <c r="A612" s="102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1"/>
    </row>
    <row r="613" spans="1:26">
      <c r="A613" s="102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1"/>
    </row>
    <row r="614" spans="1:26">
      <c r="A614" s="102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1"/>
    </row>
    <row r="615" spans="1:26">
      <c r="A615" s="102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1"/>
    </row>
    <row r="616" spans="1:26">
      <c r="A616" s="102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1"/>
    </row>
    <row r="617" spans="1:26">
      <c r="A617" s="102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1"/>
    </row>
    <row r="618" spans="1:26">
      <c r="A618" s="102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1"/>
    </row>
    <row r="619" spans="1:26">
      <c r="A619" s="102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1"/>
    </row>
    <row r="620" spans="1:26">
      <c r="A620" s="102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1"/>
    </row>
    <row r="621" spans="1:26">
      <c r="A621" s="102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1"/>
    </row>
    <row r="622" spans="1:26">
      <c r="A622" s="102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1"/>
    </row>
    <row r="623" spans="1:26">
      <c r="A623" s="102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1"/>
    </row>
    <row r="624" spans="1:26">
      <c r="A624" s="102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1"/>
    </row>
    <row r="625" spans="1:26">
      <c r="A625" s="102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1"/>
    </row>
    <row r="626" spans="1:26">
      <c r="A626" s="102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1"/>
    </row>
    <row r="627" spans="1:26">
      <c r="A627" s="102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1"/>
    </row>
    <row r="628" spans="1:26">
      <c r="A628" s="102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1"/>
    </row>
    <row r="629" spans="1:26">
      <c r="A629" s="102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1"/>
    </row>
    <row r="630" spans="1:26">
      <c r="A630" s="102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1"/>
    </row>
    <row r="631" spans="1:26">
      <c r="A631" s="102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1"/>
    </row>
    <row r="632" spans="1:26">
      <c r="A632" s="102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1"/>
    </row>
    <row r="633" spans="1:26">
      <c r="A633" s="102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1"/>
    </row>
    <row r="634" spans="1:26">
      <c r="A634" s="102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1"/>
    </row>
    <row r="635" spans="1:26">
      <c r="A635" s="102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1"/>
    </row>
    <row r="636" spans="1:26">
      <c r="A636" s="102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1"/>
    </row>
    <row r="637" spans="1:26">
      <c r="A637" s="102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1"/>
    </row>
    <row r="638" spans="1:26">
      <c r="A638" s="102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1"/>
    </row>
    <row r="639" spans="1:26">
      <c r="A639" s="102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1"/>
    </row>
    <row r="640" spans="1:26">
      <c r="A640" s="102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1"/>
    </row>
    <row r="641" spans="1:26">
      <c r="A641" s="102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1"/>
    </row>
    <row r="642" spans="1:26">
      <c r="A642" s="102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1"/>
    </row>
    <row r="643" spans="1:26">
      <c r="A643" s="102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1"/>
    </row>
    <row r="644" spans="1:26">
      <c r="A644" s="102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1"/>
    </row>
    <row r="645" spans="1:26">
      <c r="A645" s="102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1"/>
    </row>
    <row r="646" spans="1:26">
      <c r="A646" s="102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1"/>
    </row>
    <row r="647" spans="1:26">
      <c r="A647" s="102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1"/>
    </row>
    <row r="648" spans="1:26">
      <c r="A648" s="102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1"/>
    </row>
    <row r="649" spans="1:26">
      <c r="A649" s="102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1"/>
    </row>
    <row r="650" spans="1:26">
      <c r="A650" s="102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1"/>
    </row>
    <row r="651" spans="1:26">
      <c r="A651" s="102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1"/>
    </row>
    <row r="652" spans="1:26">
      <c r="A652" s="102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1"/>
    </row>
    <row r="653" spans="1:26">
      <c r="A653" s="102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1"/>
    </row>
    <row r="654" spans="1:26">
      <c r="A654" s="102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1"/>
    </row>
    <row r="655" spans="1:26">
      <c r="A655" s="102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1"/>
    </row>
    <row r="656" spans="1:26">
      <c r="A656" s="102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1"/>
    </row>
    <row r="657" spans="1:26">
      <c r="A657" s="102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1"/>
    </row>
    <row r="658" spans="1:26">
      <c r="A658" s="102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1"/>
    </row>
    <row r="659" spans="1:26">
      <c r="A659" s="102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1"/>
    </row>
    <row r="660" spans="1:26">
      <c r="A660" s="102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1"/>
    </row>
    <row r="661" spans="1:26">
      <c r="A661" s="102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1"/>
    </row>
    <row r="662" spans="1:26">
      <c r="A662" s="102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1"/>
    </row>
    <row r="663" spans="1:26">
      <c r="A663" s="102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1"/>
    </row>
    <row r="664" spans="1:26">
      <c r="A664" s="102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1"/>
    </row>
    <row r="665" spans="1:26">
      <c r="A665" s="102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1"/>
    </row>
    <row r="666" spans="1:26">
      <c r="A666" s="102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1"/>
    </row>
    <row r="667" spans="1:26">
      <c r="A667" s="102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1"/>
    </row>
    <row r="668" spans="1:26">
      <c r="A668" s="102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1"/>
    </row>
    <row r="669" spans="1:26">
      <c r="A669" s="102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1"/>
    </row>
    <row r="670" spans="1:26">
      <c r="A670" s="102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1"/>
    </row>
    <row r="671" spans="1:26">
      <c r="A671" s="102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1"/>
    </row>
    <row r="672" spans="1:26">
      <c r="A672" s="102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1"/>
    </row>
    <row r="673" spans="1:26">
      <c r="A673" s="102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1"/>
    </row>
    <row r="674" spans="1:26">
      <c r="A674" s="102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1"/>
    </row>
    <row r="675" spans="1:26">
      <c r="A675" s="102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1"/>
    </row>
    <row r="676" spans="1:26">
      <c r="A676" s="102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1"/>
    </row>
    <row r="677" spans="1:26">
      <c r="A677" s="102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1"/>
    </row>
    <row r="678" spans="1:26">
      <c r="A678" s="102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1"/>
    </row>
    <row r="679" spans="1:26">
      <c r="A679" s="102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1"/>
    </row>
    <row r="680" spans="1:26">
      <c r="A680" s="102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1"/>
    </row>
    <row r="681" spans="1:26">
      <c r="A681" s="102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1"/>
    </row>
    <row r="682" spans="1:26">
      <c r="A682" s="102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1"/>
    </row>
    <row r="683" spans="1:26">
      <c r="A683" s="102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1"/>
    </row>
    <row r="684" spans="1:26">
      <c r="A684" s="102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1"/>
    </row>
    <row r="685" spans="1:26">
      <c r="A685" s="102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1"/>
    </row>
    <row r="686" spans="1:26">
      <c r="A686" s="102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1"/>
    </row>
    <row r="687" spans="1:26">
      <c r="A687" s="102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1"/>
    </row>
    <row r="688" spans="1:26">
      <c r="A688" s="102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1"/>
    </row>
    <row r="689" spans="1:26">
      <c r="A689" s="102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1"/>
    </row>
    <row r="690" spans="1:26">
      <c r="A690" s="102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1"/>
    </row>
    <row r="691" spans="1:26">
      <c r="A691" s="102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1"/>
    </row>
    <row r="692" spans="1:26">
      <c r="A692" s="102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1"/>
    </row>
    <row r="693" spans="1:26">
      <c r="A693" s="102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1"/>
    </row>
    <row r="694" spans="1:26">
      <c r="A694" s="102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1"/>
    </row>
    <row r="695" spans="1:26">
      <c r="A695" s="102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1"/>
    </row>
    <row r="696" spans="1:26">
      <c r="A696" s="102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1"/>
    </row>
    <row r="697" spans="1:26">
      <c r="A697" s="102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1"/>
    </row>
    <row r="698" spans="1:26">
      <c r="A698" s="102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1"/>
    </row>
    <row r="699" spans="1:26">
      <c r="A699" s="102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1"/>
    </row>
    <row r="700" spans="1:26">
      <c r="A700" s="102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1"/>
    </row>
    <row r="701" spans="1:26">
      <c r="A701" s="102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1"/>
    </row>
    <row r="702" spans="1:26">
      <c r="A702" s="102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1"/>
    </row>
    <row r="703" spans="1:26">
      <c r="A703" s="102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1"/>
    </row>
    <row r="704" spans="1:26">
      <c r="A704" s="102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1"/>
    </row>
    <row r="705" spans="1:26">
      <c r="A705" s="102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1"/>
    </row>
    <row r="706" spans="1:26">
      <c r="A706" s="102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1"/>
    </row>
    <row r="707" spans="1:26">
      <c r="A707" s="102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1"/>
    </row>
    <row r="708" spans="1:26">
      <c r="A708" s="102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1"/>
    </row>
    <row r="709" spans="1:26">
      <c r="A709" s="102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1"/>
    </row>
    <row r="710" spans="1:26">
      <c r="A710" s="102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1"/>
    </row>
    <row r="711" spans="1:26">
      <c r="A711" s="102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1"/>
    </row>
    <row r="712" spans="1:26">
      <c r="A712" s="102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1"/>
    </row>
    <row r="713" spans="1:26">
      <c r="A713" s="102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1"/>
    </row>
    <row r="714" spans="1:26">
      <c r="A714" s="102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1"/>
    </row>
    <row r="715" spans="1:26">
      <c r="A715" s="102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1"/>
    </row>
    <row r="716" spans="1:26">
      <c r="A716" s="102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1"/>
    </row>
    <row r="717" spans="1:26">
      <c r="A717" s="102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1"/>
    </row>
    <row r="718" spans="1:26">
      <c r="A718" s="102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1"/>
    </row>
    <row r="719" spans="1:26">
      <c r="A719" s="102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1"/>
    </row>
    <row r="720" spans="1:26">
      <c r="A720" s="102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1"/>
    </row>
    <row r="721" spans="1:26">
      <c r="A721" s="102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1"/>
    </row>
    <row r="722" spans="1:26">
      <c r="A722" s="102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1"/>
    </row>
    <row r="723" spans="1:26">
      <c r="A723" s="102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1"/>
    </row>
    <row r="724" spans="1:26">
      <c r="A724" s="102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1"/>
    </row>
    <row r="725" spans="1:26">
      <c r="A725" s="102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1"/>
    </row>
    <row r="726" spans="1:26">
      <c r="A726" s="102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1"/>
    </row>
    <row r="727" spans="1:26">
      <c r="A727" s="102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1"/>
    </row>
    <row r="728" spans="1:26">
      <c r="A728" s="102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1"/>
    </row>
    <row r="729" spans="1:26">
      <c r="A729" s="102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1"/>
    </row>
    <row r="730" spans="1:26">
      <c r="A730" s="102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1"/>
    </row>
    <row r="731" spans="1:26">
      <c r="A731" s="102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1"/>
    </row>
    <row r="732" spans="1:26">
      <c r="A732" s="102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1"/>
    </row>
    <row r="733" spans="1:26">
      <c r="A733" s="102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1"/>
    </row>
    <row r="734" spans="1:26">
      <c r="A734" s="102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1"/>
    </row>
    <row r="735" spans="1:26">
      <c r="A735" s="102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1"/>
    </row>
    <row r="736" spans="1:26">
      <c r="A736" s="102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1"/>
    </row>
    <row r="737" spans="1:26">
      <c r="A737" s="102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1"/>
    </row>
    <row r="738" spans="1:26">
      <c r="A738" s="102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1"/>
    </row>
    <row r="739" spans="1:26">
      <c r="A739" s="102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1"/>
    </row>
    <row r="740" spans="1:26">
      <c r="A740" s="102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1"/>
    </row>
    <row r="741" spans="1:26">
      <c r="A741" s="102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1"/>
    </row>
    <row r="742" spans="1:26">
      <c r="A742" s="102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1"/>
    </row>
    <row r="743" spans="1:26">
      <c r="A743" s="102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1"/>
    </row>
    <row r="744" spans="1:26">
      <c r="A744" s="102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1"/>
    </row>
    <row r="745" spans="1:26">
      <c r="A745" s="102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1"/>
    </row>
    <row r="746" spans="1:26">
      <c r="A746" s="102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1"/>
    </row>
    <row r="747" spans="1:26">
      <c r="A747" s="102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1"/>
    </row>
    <row r="748" spans="1:26">
      <c r="A748" s="102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1"/>
    </row>
    <row r="749" spans="1:26">
      <c r="A749" s="102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1"/>
    </row>
    <row r="750" spans="1:26">
      <c r="A750" s="102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1"/>
    </row>
    <row r="751" spans="1:26">
      <c r="A751" s="102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1"/>
    </row>
    <row r="752" spans="1:26">
      <c r="A752" s="102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1"/>
    </row>
    <row r="753" spans="1:26">
      <c r="A753" s="102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1"/>
    </row>
    <row r="754" spans="1:26">
      <c r="A754" s="102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1"/>
    </row>
    <row r="755" spans="1:26">
      <c r="A755" s="102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1"/>
    </row>
    <row r="756" spans="1:26">
      <c r="A756" s="102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1"/>
    </row>
    <row r="757" spans="1:26">
      <c r="A757" s="102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1"/>
    </row>
    <row r="758" spans="1:26">
      <c r="A758" s="102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1"/>
    </row>
    <row r="759" spans="1:26">
      <c r="A759" s="102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1"/>
    </row>
    <row r="760" spans="1:26">
      <c r="A760" s="102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1"/>
    </row>
    <row r="761" spans="1:26">
      <c r="A761" s="102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1"/>
    </row>
    <row r="762" spans="1:26">
      <c r="A762" s="102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1"/>
    </row>
    <row r="763" spans="1:26">
      <c r="A763" s="102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1"/>
    </row>
    <row r="764" spans="1:26">
      <c r="A764" s="102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1"/>
    </row>
    <row r="765" spans="1:26">
      <c r="A765" s="102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1"/>
    </row>
    <row r="766" spans="1:26">
      <c r="A766" s="102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1"/>
    </row>
    <row r="767" spans="1:26">
      <c r="A767" s="102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1"/>
    </row>
    <row r="768" spans="1:26">
      <c r="A768" s="102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1"/>
    </row>
    <row r="769" spans="1:26">
      <c r="A769" s="102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1"/>
    </row>
    <row r="770" spans="1:26">
      <c r="A770" s="102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1"/>
    </row>
    <row r="771" spans="1:26">
      <c r="A771" s="102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1"/>
    </row>
    <row r="772" spans="1:26">
      <c r="A772" s="102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1"/>
    </row>
    <row r="773" spans="1:26">
      <c r="A773" s="102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1"/>
    </row>
    <row r="774" spans="1:26">
      <c r="A774" s="102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1"/>
    </row>
    <row r="775" spans="1:26">
      <c r="A775" s="102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1"/>
    </row>
    <row r="776" spans="1:26">
      <c r="A776" s="102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1"/>
    </row>
    <row r="777" spans="1:26">
      <c r="A777" s="102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1"/>
    </row>
    <row r="778" spans="1:26">
      <c r="A778" s="102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1"/>
    </row>
    <row r="779" spans="1:26">
      <c r="A779" s="102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1"/>
    </row>
    <row r="780" spans="1:26">
      <c r="A780" s="102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1"/>
    </row>
    <row r="781" spans="1:26">
      <c r="A781" s="102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1"/>
    </row>
    <row r="782" spans="1:26">
      <c r="A782" s="102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1"/>
    </row>
    <row r="783" spans="1:26">
      <c r="A783" s="102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1"/>
    </row>
    <row r="784" spans="1:26">
      <c r="A784" s="102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1"/>
    </row>
    <row r="785" spans="1:26">
      <c r="A785" s="102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1"/>
    </row>
    <row r="786" spans="1:26">
      <c r="A786" s="102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1"/>
    </row>
    <row r="787" spans="1:26">
      <c r="A787" s="102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1"/>
    </row>
    <row r="788" spans="1:26">
      <c r="A788" s="102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1"/>
    </row>
    <row r="789" spans="1:26">
      <c r="A789" s="102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1"/>
    </row>
    <row r="790" spans="1:26">
      <c r="A790" s="102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1"/>
    </row>
    <row r="791" spans="1:26">
      <c r="A791" s="102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1"/>
    </row>
    <row r="792" spans="1:26">
      <c r="A792" s="102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1"/>
    </row>
    <row r="793" spans="1:26">
      <c r="A793" s="102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1"/>
    </row>
    <row r="794" spans="1:26">
      <c r="A794" s="102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1"/>
    </row>
    <row r="795" spans="1:26">
      <c r="A795" s="102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1"/>
    </row>
    <row r="796" spans="1:26">
      <c r="A796" s="102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1"/>
    </row>
    <row r="797" spans="1:26">
      <c r="A797" s="102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1"/>
    </row>
    <row r="798" spans="1:26">
      <c r="A798" s="102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1"/>
    </row>
    <row r="799" spans="1:26">
      <c r="A799" s="102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1"/>
    </row>
    <row r="800" spans="1:26">
      <c r="A800" s="102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1"/>
    </row>
    <row r="801" spans="1:26">
      <c r="A801" s="102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1"/>
    </row>
    <row r="802" spans="1:26">
      <c r="A802" s="102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1"/>
    </row>
    <row r="803" spans="1:26">
      <c r="A803" s="102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1"/>
    </row>
    <row r="804" spans="1:26">
      <c r="A804" s="102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1"/>
    </row>
    <row r="805" spans="1:26">
      <c r="A805" s="102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1"/>
    </row>
    <row r="806" spans="1:26">
      <c r="A806" s="102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1"/>
    </row>
    <row r="807" spans="1:26">
      <c r="A807" s="102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1"/>
    </row>
    <row r="808" spans="1:26">
      <c r="A808" s="102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1"/>
    </row>
    <row r="809" spans="1:26">
      <c r="A809" s="102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1"/>
    </row>
    <row r="810" spans="1:26">
      <c r="A810" s="102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1"/>
    </row>
    <row r="811" spans="1:26">
      <c r="A811" s="102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1"/>
    </row>
    <row r="812" spans="1:26">
      <c r="A812" s="102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1"/>
    </row>
    <row r="813" spans="1:26">
      <c r="A813" s="102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1"/>
    </row>
    <row r="814" spans="1:26">
      <c r="A814" s="102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1"/>
    </row>
    <row r="815" spans="1:26">
      <c r="A815" s="102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1"/>
    </row>
    <row r="816" spans="1:26">
      <c r="A816" s="102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1"/>
    </row>
    <row r="817" spans="1:26">
      <c r="A817" s="102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1"/>
    </row>
    <row r="818" spans="1:26">
      <c r="A818" s="102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1"/>
    </row>
    <row r="819" spans="1:26">
      <c r="A819" s="102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1"/>
    </row>
    <row r="820" spans="1:26">
      <c r="A820" s="102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1"/>
    </row>
    <row r="821" spans="1:26">
      <c r="A821" s="102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1"/>
    </row>
    <row r="822" spans="1:26">
      <c r="A822" s="102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1"/>
    </row>
    <row r="823" spans="1:26">
      <c r="A823" s="102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1"/>
    </row>
    <row r="824" spans="1:26">
      <c r="A824" s="102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1"/>
    </row>
    <row r="825" spans="1:26">
      <c r="A825" s="102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1"/>
    </row>
    <row r="826" spans="1:26">
      <c r="A826" s="102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1"/>
    </row>
    <row r="827" spans="1:26">
      <c r="A827" s="102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1"/>
    </row>
    <row r="828" spans="1:26">
      <c r="A828" s="102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1"/>
    </row>
    <row r="829" spans="1:26">
      <c r="A829" s="102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1"/>
    </row>
    <row r="830" spans="1:26">
      <c r="A830" s="102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1"/>
    </row>
    <row r="831" spans="1:26">
      <c r="A831" s="102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1"/>
    </row>
    <row r="832" spans="1:26">
      <c r="A832" s="102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1"/>
    </row>
    <row r="833" spans="1:26">
      <c r="A833" s="102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1"/>
    </row>
    <row r="834" spans="1:26">
      <c r="A834" s="102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1"/>
    </row>
    <row r="835" spans="1:26">
      <c r="A835" s="102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1"/>
    </row>
    <row r="836" spans="1:26">
      <c r="A836" s="102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1"/>
    </row>
    <row r="837" spans="1:26">
      <c r="A837" s="102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1"/>
    </row>
    <row r="838" spans="1:26">
      <c r="A838" s="102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1"/>
    </row>
    <row r="839" spans="1:26">
      <c r="A839" s="102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1"/>
    </row>
    <row r="840" spans="1:26">
      <c r="A840" s="102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1"/>
    </row>
    <row r="841" spans="1:26">
      <c r="A841" s="102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1"/>
    </row>
    <row r="842" spans="1:26">
      <c r="A842" s="102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1"/>
    </row>
    <row r="843" spans="1:26">
      <c r="A843" s="102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1"/>
    </row>
    <row r="844" spans="1:26">
      <c r="A844" s="102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1"/>
    </row>
    <row r="845" spans="1:26">
      <c r="A845" s="102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1"/>
    </row>
    <row r="846" spans="1:26">
      <c r="A846" s="102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1"/>
    </row>
    <row r="847" spans="1:26">
      <c r="A847" s="102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1"/>
    </row>
    <row r="848" spans="1:26">
      <c r="A848" s="102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1"/>
    </row>
    <row r="849" spans="1:26">
      <c r="A849" s="102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1"/>
    </row>
    <row r="850" spans="1:26">
      <c r="A850" s="102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1"/>
    </row>
    <row r="851" spans="1:26">
      <c r="A851" s="102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1"/>
    </row>
    <row r="852" spans="1:26">
      <c r="A852" s="102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1"/>
    </row>
    <row r="853" spans="1:26">
      <c r="A853" s="102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1"/>
    </row>
    <row r="854" spans="1:26">
      <c r="A854" s="102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1"/>
    </row>
    <row r="855" spans="1:26">
      <c r="A855" s="102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1"/>
    </row>
    <row r="856" spans="1:26">
      <c r="A856" s="102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1"/>
    </row>
    <row r="857" spans="1:26">
      <c r="A857" s="102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1"/>
    </row>
    <row r="858" spans="1:26">
      <c r="A858" s="102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1"/>
    </row>
    <row r="859" spans="1:26">
      <c r="A859" s="102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1"/>
    </row>
    <row r="860" spans="1:26">
      <c r="A860" s="102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1"/>
    </row>
    <row r="861" spans="1:26">
      <c r="A861" s="102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1"/>
    </row>
    <row r="862" spans="1:26">
      <c r="A862" s="102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1"/>
    </row>
    <row r="863" spans="1:26">
      <c r="A863" s="102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1"/>
    </row>
    <row r="864" spans="1:26">
      <c r="A864" s="102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1"/>
    </row>
    <row r="865" spans="1:26">
      <c r="A865" s="102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1"/>
    </row>
    <row r="866" spans="1:26">
      <c r="A866" s="102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1"/>
    </row>
    <row r="867" spans="1:26">
      <c r="A867" s="102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1"/>
    </row>
    <row r="868" spans="1:26">
      <c r="A868" s="102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1"/>
    </row>
    <row r="869" spans="1:26">
      <c r="A869" s="102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1"/>
    </row>
    <row r="870" spans="1:26">
      <c r="A870" s="102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1"/>
    </row>
    <row r="871" spans="1:26">
      <c r="A871" s="102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1"/>
    </row>
    <row r="872" spans="1:26">
      <c r="A872" s="102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1"/>
    </row>
    <row r="873" spans="1:26">
      <c r="A873" s="102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1"/>
    </row>
    <row r="874" spans="1:26">
      <c r="A874" s="102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1"/>
    </row>
    <row r="875" spans="1:26">
      <c r="A875" s="102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1"/>
    </row>
    <row r="876" spans="1:26">
      <c r="A876" s="102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1"/>
    </row>
    <row r="877" spans="1:26">
      <c r="A877" s="102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1"/>
    </row>
    <row r="878" spans="1:26">
      <c r="A878" s="102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1"/>
    </row>
    <row r="879" spans="1:26">
      <c r="A879" s="102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1"/>
    </row>
    <row r="880" spans="1:26">
      <c r="A880" s="102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1"/>
    </row>
    <row r="881" spans="1:26">
      <c r="A881" s="102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1"/>
    </row>
    <row r="882" spans="1:26">
      <c r="A882" s="102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1"/>
    </row>
    <row r="883" spans="1:26">
      <c r="A883" s="102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1"/>
    </row>
    <row r="884" spans="1:26">
      <c r="A884" s="102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1"/>
    </row>
    <row r="885" spans="1:26">
      <c r="A885" s="102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1"/>
    </row>
    <row r="886" spans="1:26">
      <c r="A886" s="102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1"/>
    </row>
    <row r="887" spans="1:26">
      <c r="A887" s="102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1"/>
    </row>
    <row r="888" spans="1:26">
      <c r="A888" s="102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1"/>
    </row>
    <row r="889" spans="1:26">
      <c r="A889" s="102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1"/>
    </row>
    <row r="890" spans="1:26">
      <c r="A890" s="102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1"/>
    </row>
    <row r="891" spans="1:26">
      <c r="A891" s="102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1"/>
    </row>
    <row r="892" spans="1:26">
      <c r="A892" s="102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1"/>
    </row>
    <row r="893" spans="1:26">
      <c r="A893" s="102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1"/>
    </row>
    <row r="894" spans="1:26">
      <c r="A894" s="102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1"/>
    </row>
    <row r="895" spans="1:26">
      <c r="A895" s="102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1"/>
    </row>
    <row r="896" spans="1:26">
      <c r="A896" s="102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1"/>
    </row>
    <row r="897" spans="1:26">
      <c r="A897" s="102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1"/>
    </row>
    <row r="898" spans="1:26">
      <c r="A898" s="102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1"/>
    </row>
    <row r="899" spans="1:26">
      <c r="A899" s="102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1"/>
    </row>
    <row r="900" spans="1:26">
      <c r="A900" s="102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1"/>
    </row>
    <row r="901" spans="1:26">
      <c r="A901" s="102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1"/>
    </row>
    <row r="902" spans="1:26">
      <c r="A902" s="102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1"/>
    </row>
    <row r="903" spans="1:26">
      <c r="A903" s="102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1"/>
    </row>
    <row r="904" spans="1:26">
      <c r="A904" s="102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1"/>
    </row>
    <row r="905" spans="1:26">
      <c r="A905" s="102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1"/>
    </row>
    <row r="906" spans="1:26">
      <c r="A906" s="102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1"/>
    </row>
    <row r="907" spans="1:26">
      <c r="A907" s="102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1"/>
    </row>
    <row r="908" spans="1:26">
      <c r="A908" s="102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1"/>
    </row>
    <row r="909" spans="1:26">
      <c r="A909" s="102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1"/>
    </row>
    <row r="910" spans="1:26">
      <c r="A910" s="102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1"/>
    </row>
    <row r="911" spans="1:26">
      <c r="A911" s="102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1"/>
    </row>
    <row r="912" spans="1:26">
      <c r="A912" s="102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1"/>
    </row>
    <row r="913" spans="1:26">
      <c r="A913" s="102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1"/>
    </row>
    <row r="914" spans="1:26">
      <c r="A914" s="102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1"/>
    </row>
    <row r="915" spans="1:26">
      <c r="A915" s="102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1"/>
    </row>
    <row r="916" spans="1:26">
      <c r="A916" s="102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1"/>
    </row>
    <row r="917" spans="1:26">
      <c r="A917" s="102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1"/>
    </row>
    <row r="918" spans="1:26">
      <c r="A918" s="102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1"/>
    </row>
    <row r="919" spans="1:26">
      <c r="A919" s="102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1"/>
    </row>
    <row r="920" spans="1:26">
      <c r="A920" s="102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1"/>
    </row>
    <row r="921" spans="1:26">
      <c r="A921" s="102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1"/>
    </row>
    <row r="922" spans="1:26">
      <c r="A922" s="102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1"/>
    </row>
    <row r="923" spans="1:26">
      <c r="A923" s="102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1"/>
    </row>
    <row r="924" spans="1:26">
      <c r="A924" s="102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1"/>
    </row>
    <row r="925" spans="1:26">
      <c r="A925" s="102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1"/>
    </row>
    <row r="926" spans="1:26">
      <c r="A926" s="102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1"/>
    </row>
    <row r="927" spans="1:26">
      <c r="A927" s="102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1"/>
    </row>
    <row r="928" spans="1:26">
      <c r="A928" s="102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1"/>
    </row>
    <row r="929" spans="1:26">
      <c r="A929" s="102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1"/>
    </row>
    <row r="930" spans="1:26">
      <c r="A930" s="102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1"/>
    </row>
    <row r="931" spans="1:26">
      <c r="A931" s="102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1"/>
    </row>
    <row r="932" spans="1:26">
      <c r="A932" s="102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1"/>
    </row>
    <row r="933" spans="1:26">
      <c r="A933" s="102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1"/>
    </row>
    <row r="934" spans="1:26">
      <c r="A934" s="102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1"/>
    </row>
    <row r="935" spans="1:26">
      <c r="A935" s="102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1"/>
    </row>
    <row r="936" spans="1:26">
      <c r="A936" s="102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1"/>
    </row>
    <row r="937" spans="1:26">
      <c r="A937" s="102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1"/>
    </row>
    <row r="938" spans="1:26">
      <c r="A938" s="102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1"/>
    </row>
    <row r="939" spans="1:26">
      <c r="A939" s="102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1"/>
    </row>
    <row r="940" spans="1:26">
      <c r="A940" s="102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1"/>
    </row>
    <row r="941" spans="1:26">
      <c r="A941" s="102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1"/>
    </row>
    <row r="942" spans="1:26">
      <c r="A942" s="102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1"/>
    </row>
    <row r="943" spans="1:26">
      <c r="A943" s="102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1"/>
    </row>
    <row r="944" spans="1:26">
      <c r="A944" s="102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1"/>
    </row>
    <row r="945" spans="1:26">
      <c r="A945" s="102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1"/>
    </row>
    <row r="946" spans="1:26">
      <c r="A946" s="102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1"/>
    </row>
    <row r="947" spans="1:26">
      <c r="A947" s="102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1"/>
    </row>
    <row r="948" spans="1:26">
      <c r="A948" s="102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1"/>
    </row>
    <row r="949" spans="1:26">
      <c r="A949" s="102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1"/>
    </row>
    <row r="950" spans="1:26">
      <c r="A950" s="102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1"/>
    </row>
    <row r="951" spans="1:26">
      <c r="A951" s="102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1"/>
    </row>
    <row r="952" spans="1:26">
      <c r="A952" s="102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1"/>
    </row>
    <row r="953" spans="1:26">
      <c r="A953" s="102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1"/>
    </row>
    <row r="954" spans="1:26">
      <c r="A954" s="102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1"/>
    </row>
    <row r="955" spans="1:26">
      <c r="A955" s="102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1"/>
    </row>
    <row r="956" spans="1:26">
      <c r="A956" s="102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1"/>
    </row>
    <row r="957" spans="1:26">
      <c r="A957" s="102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1"/>
    </row>
    <row r="958" spans="1:26">
      <c r="A958" s="102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1"/>
    </row>
    <row r="959" spans="1:26">
      <c r="A959" s="102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1"/>
    </row>
    <row r="960" spans="1:26">
      <c r="A960" s="102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1"/>
    </row>
    <row r="961" spans="1:26">
      <c r="A961" s="102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1"/>
    </row>
    <row r="962" spans="1:26">
      <c r="A962" s="102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1"/>
    </row>
    <row r="963" spans="1:26">
      <c r="A963" s="102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1"/>
    </row>
    <row r="964" spans="1:26">
      <c r="A964" s="102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1"/>
    </row>
    <row r="965" spans="1:26">
      <c r="A965" s="102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1"/>
    </row>
    <row r="966" spans="1:26">
      <c r="A966" s="102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1"/>
    </row>
    <row r="967" spans="1:26">
      <c r="A967" s="102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1"/>
    </row>
    <row r="968" spans="1:26">
      <c r="A968" s="102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1"/>
    </row>
    <row r="969" spans="1:26">
      <c r="A969" s="102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1"/>
    </row>
    <row r="970" spans="1:26">
      <c r="A970" s="102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1"/>
    </row>
    <row r="971" spans="1:26">
      <c r="A971" s="102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1"/>
    </row>
    <row r="972" spans="1:26">
      <c r="A972" s="102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1"/>
    </row>
    <row r="973" spans="1:26">
      <c r="A973" s="102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1"/>
    </row>
    <row r="974" spans="1:26">
      <c r="A974" s="102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1"/>
    </row>
    <row r="975" spans="1:26">
      <c r="A975" s="103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064B-A6F3-4D2A-9335-5DB737A29DF8}">
  <dimension ref="A1:Z1000"/>
  <sheetViews>
    <sheetView topLeftCell="A12" workbookViewId="0">
      <selection activeCell="C74" sqref="C74"/>
    </sheetView>
  </sheetViews>
  <sheetFormatPr defaultRowHeight="15"/>
  <cols>
    <col min="1" max="1" width="36.5703125" bestFit="1" customWidth="1"/>
    <col min="2" max="2" width="15" bestFit="1" customWidth="1"/>
    <col min="3" max="3" width="15.42578125" bestFit="1" customWidth="1"/>
  </cols>
  <sheetData>
    <row r="1" spans="1:26" ht="15" customHeight="1">
      <c r="A1" s="106"/>
      <c r="B1" s="107" t="s">
        <v>402</v>
      </c>
      <c r="C1" s="107" t="s">
        <v>403</v>
      </c>
      <c r="D1" s="123" t="s">
        <v>82</v>
      </c>
      <c r="E1" s="124"/>
      <c r="F1" s="125"/>
      <c r="G1" s="123" t="s">
        <v>83</v>
      </c>
      <c r="H1" s="124"/>
      <c r="I1" s="125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7"/>
    </row>
    <row r="2" spans="1:26" ht="15.75">
      <c r="A2" s="34" t="s">
        <v>84</v>
      </c>
      <c r="B2" s="35" t="s">
        <v>8</v>
      </c>
      <c r="C2" s="35" t="s">
        <v>85</v>
      </c>
      <c r="D2" s="35" t="s">
        <v>86</v>
      </c>
      <c r="E2" s="35" t="s">
        <v>87</v>
      </c>
      <c r="F2" s="35" t="s">
        <v>88</v>
      </c>
      <c r="G2" s="35" t="s">
        <v>86</v>
      </c>
      <c r="H2" s="35" t="s">
        <v>87</v>
      </c>
      <c r="I2" s="35" t="s">
        <v>88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1"/>
    </row>
    <row r="3" spans="1:26">
      <c r="A3" s="36" t="s">
        <v>22</v>
      </c>
      <c r="B3" s="37">
        <v>17</v>
      </c>
      <c r="C3" s="38">
        <v>22</v>
      </c>
      <c r="D3" s="37">
        <v>23</v>
      </c>
      <c r="E3" s="37">
        <v>10</v>
      </c>
      <c r="F3" s="37">
        <v>33</v>
      </c>
      <c r="G3" s="37">
        <v>7</v>
      </c>
      <c r="H3" s="37">
        <v>4</v>
      </c>
      <c r="I3" s="37">
        <v>11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1"/>
    </row>
    <row r="4" spans="1:26">
      <c r="A4" s="36" t="s">
        <v>34</v>
      </c>
      <c r="B4" s="37">
        <v>17</v>
      </c>
      <c r="C4" s="38">
        <v>17</v>
      </c>
      <c r="D4" s="37">
        <v>19</v>
      </c>
      <c r="E4" s="37">
        <v>10</v>
      </c>
      <c r="F4" s="37">
        <v>29</v>
      </c>
      <c r="G4" s="37">
        <v>9</v>
      </c>
      <c r="H4" s="37">
        <v>3</v>
      </c>
      <c r="I4" s="37">
        <v>12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1"/>
    </row>
    <row r="5" spans="1:26">
      <c r="A5" s="36" t="s">
        <v>27</v>
      </c>
      <c r="B5" s="37">
        <v>17</v>
      </c>
      <c r="C5" s="38">
        <v>13</v>
      </c>
      <c r="D5" s="37">
        <v>22</v>
      </c>
      <c r="E5" s="37">
        <v>9</v>
      </c>
      <c r="F5" s="37">
        <v>31</v>
      </c>
      <c r="G5" s="37">
        <v>12</v>
      </c>
      <c r="H5" s="37">
        <v>6</v>
      </c>
      <c r="I5" s="37">
        <v>18</v>
      </c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1"/>
    </row>
    <row r="6" spans="1:26">
      <c r="A6" s="36" t="s">
        <v>41</v>
      </c>
      <c r="B6" s="37">
        <v>17</v>
      </c>
      <c r="C6" s="38">
        <v>12</v>
      </c>
      <c r="D6" s="37">
        <v>15</v>
      </c>
      <c r="E6" s="37">
        <v>12</v>
      </c>
      <c r="F6" s="37">
        <v>27</v>
      </c>
      <c r="G6" s="37">
        <v>9</v>
      </c>
      <c r="H6" s="37">
        <v>6</v>
      </c>
      <c r="I6" s="37">
        <v>15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1"/>
    </row>
    <row r="7" spans="1:26">
      <c r="A7" s="36" t="s">
        <v>17</v>
      </c>
      <c r="B7" s="37">
        <v>17</v>
      </c>
      <c r="C7" s="38">
        <v>11</v>
      </c>
      <c r="D7" s="37">
        <v>16</v>
      </c>
      <c r="E7" s="37">
        <v>10</v>
      </c>
      <c r="F7" s="37">
        <v>26</v>
      </c>
      <c r="G7" s="37">
        <v>8</v>
      </c>
      <c r="H7" s="37">
        <v>7</v>
      </c>
      <c r="I7" s="37">
        <v>15</v>
      </c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1"/>
    </row>
    <row r="8" spans="1:26">
      <c r="A8" s="36" t="s">
        <v>37</v>
      </c>
      <c r="B8" s="37">
        <v>17</v>
      </c>
      <c r="C8" s="38">
        <v>7</v>
      </c>
      <c r="D8" s="37">
        <v>13</v>
      </c>
      <c r="E8" s="37">
        <v>10</v>
      </c>
      <c r="F8" s="37">
        <v>23</v>
      </c>
      <c r="G8" s="37">
        <v>11</v>
      </c>
      <c r="H8" s="37">
        <v>5</v>
      </c>
      <c r="I8" s="37">
        <v>16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1"/>
    </row>
    <row r="9" spans="1:26">
      <c r="A9" s="36" t="s">
        <v>40</v>
      </c>
      <c r="B9" s="37">
        <v>17</v>
      </c>
      <c r="C9" s="38">
        <v>6</v>
      </c>
      <c r="D9" s="37">
        <v>12</v>
      </c>
      <c r="E9" s="37">
        <v>9</v>
      </c>
      <c r="F9" s="37">
        <v>21</v>
      </c>
      <c r="G9" s="37">
        <v>7</v>
      </c>
      <c r="H9" s="37">
        <v>8</v>
      </c>
      <c r="I9" s="37">
        <v>15</v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1"/>
    </row>
    <row r="10" spans="1:26">
      <c r="A10" s="36" t="s">
        <v>30</v>
      </c>
      <c r="B10" s="37">
        <v>17</v>
      </c>
      <c r="C10" s="38">
        <v>5</v>
      </c>
      <c r="D10" s="37">
        <v>16</v>
      </c>
      <c r="E10" s="37">
        <v>7</v>
      </c>
      <c r="F10" s="37">
        <v>23</v>
      </c>
      <c r="G10" s="37">
        <v>8</v>
      </c>
      <c r="H10" s="37">
        <v>10</v>
      </c>
      <c r="I10" s="37">
        <v>18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1"/>
    </row>
    <row r="11" spans="1:26">
      <c r="A11" s="36" t="s">
        <v>21</v>
      </c>
      <c r="B11" s="37">
        <v>17</v>
      </c>
      <c r="C11" s="38">
        <v>4</v>
      </c>
      <c r="D11" s="37">
        <v>13</v>
      </c>
      <c r="E11" s="37">
        <v>6</v>
      </c>
      <c r="F11" s="37">
        <v>19</v>
      </c>
      <c r="G11" s="37">
        <v>8</v>
      </c>
      <c r="H11" s="37">
        <v>7</v>
      </c>
      <c r="I11" s="37">
        <v>15</v>
      </c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1"/>
    </row>
    <row r="12" spans="1:26">
      <c r="A12" s="36" t="s">
        <v>19</v>
      </c>
      <c r="B12" s="37">
        <v>17</v>
      </c>
      <c r="C12" s="38">
        <v>3</v>
      </c>
      <c r="D12" s="37">
        <v>10</v>
      </c>
      <c r="E12" s="37">
        <v>9</v>
      </c>
      <c r="F12" s="37">
        <v>19</v>
      </c>
      <c r="G12" s="37">
        <v>8</v>
      </c>
      <c r="H12" s="37">
        <v>8</v>
      </c>
      <c r="I12" s="37">
        <v>16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1"/>
    </row>
    <row r="13" spans="1:26">
      <c r="A13" s="36" t="s">
        <v>28</v>
      </c>
      <c r="B13" s="37">
        <v>17</v>
      </c>
      <c r="C13" s="38">
        <v>2</v>
      </c>
      <c r="D13" s="37">
        <v>19</v>
      </c>
      <c r="E13" s="37">
        <v>4</v>
      </c>
      <c r="F13" s="37">
        <v>23</v>
      </c>
      <c r="G13" s="37">
        <v>14</v>
      </c>
      <c r="H13" s="37">
        <v>7</v>
      </c>
      <c r="I13" s="37">
        <v>21</v>
      </c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1"/>
    </row>
    <row r="14" spans="1:26">
      <c r="A14" s="36" t="s">
        <v>20</v>
      </c>
      <c r="B14" s="37">
        <v>17</v>
      </c>
      <c r="C14" s="38">
        <v>1</v>
      </c>
      <c r="D14" s="37">
        <v>13</v>
      </c>
      <c r="E14" s="37">
        <v>7</v>
      </c>
      <c r="F14" s="37">
        <v>20</v>
      </c>
      <c r="G14" s="37">
        <v>10</v>
      </c>
      <c r="H14" s="37">
        <v>9</v>
      </c>
      <c r="I14" s="37">
        <v>19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1"/>
    </row>
    <row r="15" spans="1:26">
      <c r="A15" s="36" t="s">
        <v>31</v>
      </c>
      <c r="B15" s="37">
        <v>17</v>
      </c>
      <c r="C15" s="38">
        <v>1</v>
      </c>
      <c r="D15" s="37">
        <v>7</v>
      </c>
      <c r="E15" s="37">
        <v>7</v>
      </c>
      <c r="F15" s="37">
        <v>14</v>
      </c>
      <c r="G15" s="37">
        <v>7</v>
      </c>
      <c r="H15" s="37">
        <v>6</v>
      </c>
      <c r="I15" s="37">
        <v>13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1"/>
    </row>
    <row r="16" spans="1:26">
      <c r="A16" s="36" t="s">
        <v>36</v>
      </c>
      <c r="B16" s="37">
        <v>17</v>
      </c>
      <c r="C16" s="39">
        <v>-1</v>
      </c>
      <c r="D16" s="37">
        <v>10</v>
      </c>
      <c r="E16" s="37">
        <v>4</v>
      </c>
      <c r="F16" s="37">
        <v>14</v>
      </c>
      <c r="G16" s="37">
        <v>12</v>
      </c>
      <c r="H16" s="37">
        <v>3</v>
      </c>
      <c r="I16" s="37">
        <v>15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1"/>
    </row>
    <row r="17" spans="1:26">
      <c r="A17" s="36" t="s">
        <v>35</v>
      </c>
      <c r="B17" s="37">
        <v>17</v>
      </c>
      <c r="C17" s="39">
        <v>-2</v>
      </c>
      <c r="D17" s="37">
        <v>10</v>
      </c>
      <c r="E17" s="37">
        <v>9</v>
      </c>
      <c r="F17" s="37">
        <v>19</v>
      </c>
      <c r="G17" s="37">
        <v>11</v>
      </c>
      <c r="H17" s="37">
        <v>10</v>
      </c>
      <c r="I17" s="37">
        <v>21</v>
      </c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1"/>
    </row>
    <row r="18" spans="1:26">
      <c r="A18" s="36" t="s">
        <v>43</v>
      </c>
      <c r="B18" s="37">
        <v>17</v>
      </c>
      <c r="C18" s="39">
        <v>-2</v>
      </c>
      <c r="D18" s="37">
        <v>15</v>
      </c>
      <c r="E18" s="37">
        <v>6</v>
      </c>
      <c r="F18" s="37">
        <v>21</v>
      </c>
      <c r="G18" s="37">
        <v>12</v>
      </c>
      <c r="H18" s="37">
        <v>11</v>
      </c>
      <c r="I18" s="37">
        <v>23</v>
      </c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1"/>
    </row>
    <row r="19" spans="1:26">
      <c r="A19" s="36" t="s">
        <v>25</v>
      </c>
      <c r="B19" s="37">
        <v>17</v>
      </c>
      <c r="C19" s="39">
        <v>-2</v>
      </c>
      <c r="D19" s="37">
        <v>14</v>
      </c>
      <c r="E19" s="37">
        <v>7</v>
      </c>
      <c r="F19" s="37">
        <v>21</v>
      </c>
      <c r="G19" s="37">
        <v>14</v>
      </c>
      <c r="H19" s="37">
        <v>9</v>
      </c>
      <c r="I19" s="37">
        <v>23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1"/>
    </row>
    <row r="20" spans="1:26">
      <c r="A20" s="36" t="s">
        <v>29</v>
      </c>
      <c r="B20" s="108">
        <v>17</v>
      </c>
      <c r="C20" s="39">
        <v>-2</v>
      </c>
      <c r="D20" s="37">
        <v>9</v>
      </c>
      <c r="E20" s="37">
        <v>6</v>
      </c>
      <c r="F20" s="37">
        <v>15</v>
      </c>
      <c r="G20" s="37">
        <v>10</v>
      </c>
      <c r="H20" s="37">
        <v>7</v>
      </c>
      <c r="I20" s="37">
        <v>17</v>
      </c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1"/>
    </row>
    <row r="21" spans="1:26">
      <c r="A21" s="36" t="s">
        <v>32</v>
      </c>
      <c r="B21" s="37">
        <v>17</v>
      </c>
      <c r="C21" s="39">
        <v>-3</v>
      </c>
      <c r="D21" s="37">
        <v>11</v>
      </c>
      <c r="E21" s="37">
        <v>9</v>
      </c>
      <c r="F21" s="37">
        <v>20</v>
      </c>
      <c r="G21" s="37">
        <v>11</v>
      </c>
      <c r="H21" s="37">
        <v>12</v>
      </c>
      <c r="I21" s="37">
        <v>23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1"/>
    </row>
    <row r="22" spans="1:26">
      <c r="A22" s="36" t="s">
        <v>33</v>
      </c>
      <c r="B22" s="37">
        <v>17</v>
      </c>
      <c r="C22" s="39">
        <v>-3</v>
      </c>
      <c r="D22" s="37">
        <v>13</v>
      </c>
      <c r="E22" s="37">
        <v>8</v>
      </c>
      <c r="F22" s="37">
        <v>21</v>
      </c>
      <c r="G22" s="37">
        <v>17</v>
      </c>
      <c r="H22" s="37">
        <v>7</v>
      </c>
      <c r="I22" s="37">
        <v>24</v>
      </c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1"/>
    </row>
    <row r="23" spans="1:26">
      <c r="A23" s="36" t="s">
        <v>26</v>
      </c>
      <c r="B23" s="37">
        <v>17</v>
      </c>
      <c r="C23" s="39">
        <v>-3</v>
      </c>
      <c r="D23" s="37">
        <v>10</v>
      </c>
      <c r="E23" s="37">
        <v>4</v>
      </c>
      <c r="F23" s="37">
        <v>14</v>
      </c>
      <c r="G23" s="37">
        <v>11</v>
      </c>
      <c r="H23" s="37">
        <v>6</v>
      </c>
      <c r="I23" s="37">
        <v>17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1"/>
    </row>
    <row r="24" spans="1:26">
      <c r="A24" s="36" t="s">
        <v>24</v>
      </c>
      <c r="B24" s="37">
        <v>17</v>
      </c>
      <c r="C24" s="39">
        <v>-3</v>
      </c>
      <c r="D24" s="37">
        <v>18</v>
      </c>
      <c r="E24" s="37">
        <v>7</v>
      </c>
      <c r="F24" s="37">
        <v>25</v>
      </c>
      <c r="G24" s="37">
        <v>15</v>
      </c>
      <c r="H24" s="37">
        <v>13</v>
      </c>
      <c r="I24" s="37">
        <v>28</v>
      </c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1"/>
    </row>
    <row r="25" spans="1:26">
      <c r="A25" s="36" t="s">
        <v>42</v>
      </c>
      <c r="B25" s="37">
        <v>17</v>
      </c>
      <c r="C25" s="39">
        <v>-4</v>
      </c>
      <c r="D25" s="37">
        <v>9</v>
      </c>
      <c r="E25" s="37">
        <v>11</v>
      </c>
      <c r="F25" s="37">
        <v>20</v>
      </c>
      <c r="G25" s="37">
        <v>18</v>
      </c>
      <c r="H25" s="37">
        <v>6</v>
      </c>
      <c r="I25" s="37">
        <v>24</v>
      </c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1"/>
    </row>
    <row r="26" spans="1:26">
      <c r="A26" s="36" t="s">
        <v>39</v>
      </c>
      <c r="B26" s="37">
        <v>17</v>
      </c>
      <c r="C26" s="39">
        <v>-4</v>
      </c>
      <c r="D26" s="37">
        <v>10</v>
      </c>
      <c r="E26" s="37">
        <v>10</v>
      </c>
      <c r="F26" s="37">
        <v>20</v>
      </c>
      <c r="G26" s="37">
        <v>12</v>
      </c>
      <c r="H26" s="37">
        <v>12</v>
      </c>
      <c r="I26" s="37">
        <v>24</v>
      </c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1"/>
    </row>
    <row r="27" spans="1:26">
      <c r="A27" s="36" t="s">
        <v>47</v>
      </c>
      <c r="B27" s="37">
        <v>17</v>
      </c>
      <c r="C27" s="39">
        <v>-5</v>
      </c>
      <c r="D27" s="37">
        <v>6</v>
      </c>
      <c r="E27" s="37">
        <v>8</v>
      </c>
      <c r="F27" s="37">
        <v>14</v>
      </c>
      <c r="G27" s="37">
        <v>8</v>
      </c>
      <c r="H27" s="37">
        <v>11</v>
      </c>
      <c r="I27" s="37">
        <v>19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1"/>
    </row>
    <row r="28" spans="1:26">
      <c r="A28" s="36" t="s">
        <v>23</v>
      </c>
      <c r="B28" s="37">
        <v>17</v>
      </c>
      <c r="C28" s="39">
        <v>-6</v>
      </c>
      <c r="D28" s="37">
        <v>6</v>
      </c>
      <c r="E28" s="37">
        <v>10</v>
      </c>
      <c r="F28" s="37">
        <v>16</v>
      </c>
      <c r="G28" s="37">
        <v>16</v>
      </c>
      <c r="H28" s="37">
        <v>6</v>
      </c>
      <c r="I28" s="37">
        <v>22</v>
      </c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1"/>
    </row>
    <row r="29" spans="1:26">
      <c r="A29" s="36" t="s">
        <v>46</v>
      </c>
      <c r="B29" s="37">
        <v>17</v>
      </c>
      <c r="C29" s="39">
        <v>-7</v>
      </c>
      <c r="D29" s="37">
        <v>11</v>
      </c>
      <c r="E29" s="37">
        <v>7</v>
      </c>
      <c r="F29" s="37">
        <v>18</v>
      </c>
      <c r="G29" s="37">
        <v>18</v>
      </c>
      <c r="H29" s="37">
        <v>7</v>
      </c>
      <c r="I29" s="37">
        <v>25</v>
      </c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1"/>
    </row>
    <row r="30" spans="1:26">
      <c r="A30" s="36" t="s">
        <v>48</v>
      </c>
      <c r="B30" s="37">
        <v>17</v>
      </c>
      <c r="C30" s="39">
        <v>-7</v>
      </c>
      <c r="D30" s="37">
        <v>8</v>
      </c>
      <c r="E30" s="37">
        <v>8</v>
      </c>
      <c r="F30" s="37">
        <v>16</v>
      </c>
      <c r="G30" s="37">
        <v>19</v>
      </c>
      <c r="H30" s="37">
        <v>4</v>
      </c>
      <c r="I30" s="37">
        <v>23</v>
      </c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1"/>
    </row>
    <row r="31" spans="1:26">
      <c r="A31" s="36" t="s">
        <v>18</v>
      </c>
      <c r="B31" s="37">
        <v>17</v>
      </c>
      <c r="C31" s="39">
        <v>-9</v>
      </c>
      <c r="D31" s="37">
        <v>6</v>
      </c>
      <c r="E31" s="37">
        <v>6</v>
      </c>
      <c r="F31" s="37">
        <v>12</v>
      </c>
      <c r="G31" s="37">
        <v>12</v>
      </c>
      <c r="H31" s="37">
        <v>9</v>
      </c>
      <c r="I31" s="37">
        <v>21</v>
      </c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</row>
    <row r="32" spans="1:26">
      <c r="A32" s="36" t="s">
        <v>44</v>
      </c>
      <c r="B32" s="37">
        <v>17</v>
      </c>
      <c r="C32" s="39">
        <v>-9</v>
      </c>
      <c r="D32" s="37">
        <v>8</v>
      </c>
      <c r="E32" s="37">
        <v>13</v>
      </c>
      <c r="F32" s="37">
        <v>21</v>
      </c>
      <c r="G32" s="37">
        <v>21</v>
      </c>
      <c r="H32" s="37">
        <v>9</v>
      </c>
      <c r="I32" s="37">
        <v>30</v>
      </c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1"/>
    </row>
    <row r="33" spans="1:26">
      <c r="A33" s="36" t="s">
        <v>38</v>
      </c>
      <c r="B33" s="37">
        <v>17</v>
      </c>
      <c r="C33" s="39">
        <v>-13</v>
      </c>
      <c r="D33" s="37">
        <v>8</v>
      </c>
      <c r="E33" s="37">
        <v>2</v>
      </c>
      <c r="F33" s="37">
        <v>10</v>
      </c>
      <c r="G33" s="37">
        <v>12</v>
      </c>
      <c r="H33" s="37">
        <v>11</v>
      </c>
      <c r="I33" s="37">
        <v>23</v>
      </c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1"/>
    </row>
    <row r="34" spans="1:26">
      <c r="A34" s="36" t="s">
        <v>45</v>
      </c>
      <c r="B34" s="37">
        <v>17</v>
      </c>
      <c r="C34" s="39">
        <v>-19</v>
      </c>
      <c r="D34" s="37">
        <v>0</v>
      </c>
      <c r="E34" s="37">
        <v>4</v>
      </c>
      <c r="F34" s="37">
        <v>4</v>
      </c>
      <c r="G34" s="37">
        <v>13</v>
      </c>
      <c r="H34" s="37">
        <v>10</v>
      </c>
      <c r="I34" s="37">
        <v>23</v>
      </c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1"/>
    </row>
    <row r="35" spans="1:26">
      <c r="A35" s="62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1"/>
    </row>
    <row r="36" spans="1:26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60"/>
      <c r="Y36" s="60"/>
      <c r="Z36" s="61"/>
    </row>
    <row r="37" spans="1:26">
      <c r="A37" s="118" t="s">
        <v>89</v>
      </c>
      <c r="B37" s="119"/>
      <c r="C37" s="119"/>
      <c r="D37" s="119"/>
      <c r="E37" s="119"/>
      <c r="F37" s="119"/>
      <c r="G37" s="119"/>
      <c r="H37" s="119"/>
      <c r="I37" s="119"/>
      <c r="J37" s="120"/>
      <c r="K37" s="121" t="s">
        <v>90</v>
      </c>
      <c r="L37" s="120"/>
      <c r="M37" s="121" t="s">
        <v>91</v>
      </c>
      <c r="N37" s="119"/>
      <c r="O37" s="120"/>
      <c r="P37" s="22"/>
      <c r="Q37" s="22"/>
      <c r="R37" s="22"/>
      <c r="S37" s="22"/>
      <c r="T37" s="22"/>
      <c r="U37" s="22"/>
      <c r="V37" s="22"/>
      <c r="W37" s="22"/>
      <c r="X37" s="60"/>
      <c r="Y37" s="60"/>
      <c r="Z37" s="61"/>
    </row>
    <row r="38" spans="1:26">
      <c r="A38" s="40" t="s">
        <v>84</v>
      </c>
      <c r="B38" s="41" t="s">
        <v>92</v>
      </c>
      <c r="C38" s="41" t="s">
        <v>93</v>
      </c>
      <c r="D38" s="41" t="s">
        <v>94</v>
      </c>
      <c r="E38" s="41" t="s">
        <v>95</v>
      </c>
      <c r="F38" s="41" t="s">
        <v>96</v>
      </c>
      <c r="G38" s="41" t="s">
        <v>97</v>
      </c>
      <c r="H38" s="41" t="s">
        <v>98</v>
      </c>
      <c r="I38" s="41" t="s">
        <v>99</v>
      </c>
      <c r="J38" s="41" t="s">
        <v>100</v>
      </c>
      <c r="K38" s="41" t="s">
        <v>101</v>
      </c>
      <c r="L38" s="41" t="s">
        <v>102</v>
      </c>
      <c r="M38" s="41" t="s">
        <v>103</v>
      </c>
      <c r="N38" s="41" t="s">
        <v>104</v>
      </c>
      <c r="O38" s="41" t="s">
        <v>105</v>
      </c>
      <c r="P38" s="41" t="s">
        <v>106</v>
      </c>
      <c r="Q38" s="22"/>
      <c r="R38" s="22"/>
      <c r="S38" s="22"/>
      <c r="T38" s="22"/>
      <c r="U38" s="22"/>
      <c r="V38" s="22"/>
      <c r="W38" s="22"/>
      <c r="X38" s="60"/>
      <c r="Y38" s="60"/>
      <c r="Z38" s="61"/>
    </row>
    <row r="39" spans="1:26">
      <c r="A39" s="42" t="s">
        <v>24</v>
      </c>
      <c r="B39" s="43">
        <v>31</v>
      </c>
      <c r="C39" s="43">
        <v>9</v>
      </c>
      <c r="D39" s="43">
        <v>20</v>
      </c>
      <c r="E39" s="43">
        <v>0</v>
      </c>
      <c r="F39" s="43">
        <v>1</v>
      </c>
      <c r="G39" s="43">
        <v>0</v>
      </c>
      <c r="H39" s="43">
        <v>1</v>
      </c>
      <c r="I39" s="43">
        <v>0</v>
      </c>
      <c r="J39" s="43">
        <v>0</v>
      </c>
      <c r="K39" s="43">
        <v>0</v>
      </c>
      <c r="L39" s="43" t="s">
        <v>107</v>
      </c>
      <c r="M39" s="43" t="s">
        <v>108</v>
      </c>
      <c r="N39" s="43">
        <v>3</v>
      </c>
      <c r="O39" s="43">
        <v>0</v>
      </c>
      <c r="P39" s="44">
        <v>292</v>
      </c>
      <c r="Q39" s="22"/>
      <c r="R39" s="22"/>
      <c r="S39" s="22"/>
      <c r="T39" s="22"/>
      <c r="U39" s="22"/>
      <c r="V39" s="22"/>
      <c r="W39" s="22"/>
      <c r="X39" s="60"/>
      <c r="Y39" s="60"/>
      <c r="Z39" s="61"/>
    </row>
    <row r="40" spans="1:26">
      <c r="A40" s="42" t="s">
        <v>34</v>
      </c>
      <c r="B40" s="45">
        <v>35</v>
      </c>
      <c r="C40" s="45">
        <v>13</v>
      </c>
      <c r="D40" s="45">
        <v>20</v>
      </c>
      <c r="E40" s="45">
        <v>1</v>
      </c>
      <c r="F40" s="45">
        <v>1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 t="s">
        <v>109</v>
      </c>
      <c r="M40" s="45" t="s">
        <v>110</v>
      </c>
      <c r="N40" s="45">
        <v>2</v>
      </c>
      <c r="O40" s="45">
        <v>0</v>
      </c>
      <c r="P40" s="46">
        <v>295</v>
      </c>
      <c r="Q40" s="22"/>
      <c r="R40" s="22"/>
      <c r="S40" s="22"/>
      <c r="T40" s="22"/>
      <c r="U40" s="22"/>
      <c r="V40" s="22"/>
      <c r="W40" s="22"/>
      <c r="X40" s="60"/>
      <c r="Y40" s="60"/>
      <c r="Z40" s="61"/>
    </row>
    <row r="41" spans="1:26">
      <c r="A41" s="42" t="s">
        <v>26</v>
      </c>
      <c r="B41" s="43">
        <v>29</v>
      </c>
      <c r="C41" s="43">
        <v>11</v>
      </c>
      <c r="D41" s="43">
        <v>18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 t="s">
        <v>111</v>
      </c>
      <c r="M41" s="43" t="s">
        <v>112</v>
      </c>
      <c r="N41" s="43">
        <v>0</v>
      </c>
      <c r="O41" s="43">
        <v>1</v>
      </c>
      <c r="P41" s="44">
        <v>311</v>
      </c>
      <c r="Q41" s="22"/>
      <c r="R41" s="22"/>
      <c r="S41" s="22"/>
      <c r="T41" s="22"/>
      <c r="U41" s="22"/>
      <c r="V41" s="22"/>
      <c r="W41" s="22"/>
      <c r="X41" s="60"/>
      <c r="Y41" s="60"/>
      <c r="Z41" s="61"/>
    </row>
    <row r="42" spans="1:26">
      <c r="A42" s="42" t="s">
        <v>19</v>
      </c>
      <c r="B42" s="45">
        <v>38</v>
      </c>
      <c r="C42" s="45">
        <v>11</v>
      </c>
      <c r="D42" s="45">
        <v>25</v>
      </c>
      <c r="E42" s="45">
        <v>0</v>
      </c>
      <c r="F42" s="45">
        <v>1</v>
      </c>
      <c r="G42" s="45">
        <v>1</v>
      </c>
      <c r="H42" s="45">
        <v>0</v>
      </c>
      <c r="I42" s="45">
        <v>0</v>
      </c>
      <c r="J42" s="45">
        <v>0</v>
      </c>
      <c r="K42" s="45">
        <v>0</v>
      </c>
      <c r="L42" s="45" t="s">
        <v>113</v>
      </c>
      <c r="M42" s="45" t="s">
        <v>114</v>
      </c>
      <c r="N42" s="45">
        <v>1</v>
      </c>
      <c r="O42" s="45">
        <v>0</v>
      </c>
      <c r="P42" s="46">
        <v>320</v>
      </c>
      <c r="Q42" s="22"/>
      <c r="R42" s="22"/>
      <c r="S42" s="22"/>
      <c r="T42" s="22"/>
      <c r="U42" s="22"/>
      <c r="V42" s="22"/>
      <c r="W42" s="22"/>
      <c r="X42" s="60"/>
      <c r="Y42" s="60"/>
      <c r="Z42" s="61"/>
    </row>
    <row r="43" spans="1:26">
      <c r="A43" s="42" t="s">
        <v>40</v>
      </c>
      <c r="B43" s="43">
        <v>34</v>
      </c>
      <c r="C43" s="43">
        <v>20</v>
      </c>
      <c r="D43" s="43">
        <v>14</v>
      </c>
      <c r="E43" s="43">
        <v>0</v>
      </c>
      <c r="F43" s="43">
        <v>0</v>
      </c>
      <c r="G43" s="109">
        <v>0</v>
      </c>
      <c r="H43" s="43">
        <v>0</v>
      </c>
      <c r="I43" s="43">
        <v>0</v>
      </c>
      <c r="J43" s="43">
        <v>0</v>
      </c>
      <c r="K43" s="43">
        <v>0</v>
      </c>
      <c r="L43" s="43" t="s">
        <v>115</v>
      </c>
      <c r="M43" s="43" t="s">
        <v>116</v>
      </c>
      <c r="N43" s="43">
        <v>2</v>
      </c>
      <c r="O43" s="43">
        <v>1</v>
      </c>
      <c r="P43" s="44">
        <v>325</v>
      </c>
      <c r="Q43" s="22"/>
      <c r="R43" s="22"/>
      <c r="S43" s="22"/>
      <c r="T43" s="22"/>
      <c r="U43" s="22"/>
      <c r="V43" s="22"/>
      <c r="W43" s="22"/>
      <c r="X43" s="60"/>
      <c r="Y43" s="60"/>
      <c r="Z43" s="61"/>
    </row>
    <row r="44" spans="1:26">
      <c r="A44" s="42" t="s">
        <v>36</v>
      </c>
      <c r="B44" s="45">
        <v>33</v>
      </c>
      <c r="C44" s="45">
        <v>14</v>
      </c>
      <c r="D44" s="45">
        <v>18</v>
      </c>
      <c r="E44" s="45">
        <v>0</v>
      </c>
      <c r="F44" s="45">
        <v>0</v>
      </c>
      <c r="G44" s="45">
        <v>1</v>
      </c>
      <c r="H44" s="45">
        <v>0</v>
      </c>
      <c r="I44" s="45">
        <v>0</v>
      </c>
      <c r="J44" s="45">
        <v>0</v>
      </c>
      <c r="K44" s="45">
        <v>0</v>
      </c>
      <c r="L44" s="45" t="s">
        <v>117</v>
      </c>
      <c r="M44" s="45" t="s">
        <v>117</v>
      </c>
      <c r="N44" s="45">
        <v>1</v>
      </c>
      <c r="O44" s="45">
        <v>2</v>
      </c>
      <c r="P44" s="46">
        <v>328</v>
      </c>
      <c r="Q44" s="22"/>
      <c r="R44" s="22"/>
      <c r="S44" s="22"/>
      <c r="T44" s="22"/>
      <c r="U44" s="22"/>
      <c r="V44" s="22"/>
      <c r="W44" s="22"/>
      <c r="X44" s="60"/>
      <c r="Y44" s="60"/>
      <c r="Z44" s="61"/>
    </row>
    <row r="45" spans="1:26">
      <c r="A45" s="42" t="s">
        <v>44</v>
      </c>
      <c r="B45" s="43">
        <v>32</v>
      </c>
      <c r="C45" s="43">
        <v>13</v>
      </c>
      <c r="D45" s="43">
        <v>15</v>
      </c>
      <c r="E45" s="43">
        <v>0</v>
      </c>
      <c r="F45" s="43">
        <v>0</v>
      </c>
      <c r="G45" s="43">
        <v>3</v>
      </c>
      <c r="H45" s="43">
        <v>1</v>
      </c>
      <c r="I45" s="43">
        <v>0</v>
      </c>
      <c r="J45" s="43">
        <v>0</v>
      </c>
      <c r="K45" s="43">
        <v>0</v>
      </c>
      <c r="L45" s="43" t="s">
        <v>118</v>
      </c>
      <c r="M45" s="43" t="s">
        <v>119</v>
      </c>
      <c r="N45" s="43">
        <v>1</v>
      </c>
      <c r="O45" s="43">
        <v>0</v>
      </c>
      <c r="P45" s="44">
        <v>333</v>
      </c>
      <c r="Q45" s="22"/>
      <c r="R45" s="22"/>
      <c r="S45" s="22"/>
      <c r="T45" s="22"/>
      <c r="U45" s="22"/>
      <c r="V45" s="22"/>
      <c r="W45" s="22"/>
      <c r="X45" s="60"/>
      <c r="Y45" s="60"/>
      <c r="Z45" s="61"/>
    </row>
    <row r="46" spans="1:26">
      <c r="A46" s="42" t="s">
        <v>27</v>
      </c>
      <c r="B46" s="45">
        <v>40</v>
      </c>
      <c r="C46" s="45">
        <v>13</v>
      </c>
      <c r="D46" s="45">
        <v>25</v>
      </c>
      <c r="E46" s="45">
        <v>0</v>
      </c>
      <c r="F46" s="45">
        <v>0</v>
      </c>
      <c r="G46" s="45">
        <v>0</v>
      </c>
      <c r="H46" s="45">
        <v>2</v>
      </c>
      <c r="I46" s="45">
        <v>0</v>
      </c>
      <c r="J46" s="45">
        <v>0</v>
      </c>
      <c r="K46" s="45">
        <v>0</v>
      </c>
      <c r="L46" s="45" t="s">
        <v>120</v>
      </c>
      <c r="M46" s="45" t="s">
        <v>121</v>
      </c>
      <c r="N46" s="45">
        <v>2</v>
      </c>
      <c r="O46" s="45">
        <v>0</v>
      </c>
      <c r="P46" s="46">
        <v>336</v>
      </c>
      <c r="Q46" s="22"/>
      <c r="R46" s="22"/>
      <c r="S46" s="22"/>
      <c r="T46" s="22"/>
      <c r="U46" s="22"/>
      <c r="V46" s="22"/>
      <c r="W46" s="22"/>
      <c r="X46" s="60"/>
      <c r="Y46" s="60"/>
      <c r="Z46" s="61"/>
    </row>
    <row r="47" spans="1:26">
      <c r="A47" s="42" t="s">
        <v>28</v>
      </c>
      <c r="B47" s="43">
        <v>35</v>
      </c>
      <c r="C47" s="43">
        <v>16</v>
      </c>
      <c r="D47" s="43">
        <v>16</v>
      </c>
      <c r="E47" s="43">
        <v>0</v>
      </c>
      <c r="F47" s="43">
        <v>1</v>
      </c>
      <c r="G47" s="43">
        <v>2</v>
      </c>
      <c r="H47" s="43">
        <v>0</v>
      </c>
      <c r="I47" s="43">
        <v>0</v>
      </c>
      <c r="J47" s="43">
        <v>0</v>
      </c>
      <c r="K47" s="43">
        <v>0</v>
      </c>
      <c r="L47" s="43" t="s">
        <v>122</v>
      </c>
      <c r="M47" s="43" t="s">
        <v>123</v>
      </c>
      <c r="N47" s="43">
        <v>2</v>
      </c>
      <c r="O47" s="43">
        <v>0</v>
      </c>
      <c r="P47" s="44">
        <v>340</v>
      </c>
      <c r="Q47" s="22"/>
      <c r="R47" s="22"/>
      <c r="S47" s="22"/>
      <c r="T47" s="22"/>
      <c r="U47" s="22"/>
      <c r="V47" s="22"/>
      <c r="W47" s="22"/>
      <c r="X47" s="60"/>
      <c r="Y47" s="60"/>
      <c r="Z47" s="61"/>
    </row>
    <row r="48" spans="1:26">
      <c r="A48" s="42" t="s">
        <v>17</v>
      </c>
      <c r="B48" s="45">
        <v>38</v>
      </c>
      <c r="C48" s="45">
        <v>8</v>
      </c>
      <c r="D48" s="45">
        <v>26</v>
      </c>
      <c r="E48" s="45">
        <v>0</v>
      </c>
      <c r="F48" s="45">
        <v>1</v>
      </c>
      <c r="G48" s="45">
        <v>2</v>
      </c>
      <c r="H48" s="45">
        <v>0</v>
      </c>
      <c r="I48" s="45">
        <v>1</v>
      </c>
      <c r="J48" s="45">
        <v>0</v>
      </c>
      <c r="K48" s="45">
        <v>0</v>
      </c>
      <c r="L48" s="45" t="s">
        <v>117</v>
      </c>
      <c r="M48" s="45" t="s">
        <v>124</v>
      </c>
      <c r="N48" s="45">
        <v>3</v>
      </c>
      <c r="O48" s="45">
        <v>0</v>
      </c>
      <c r="P48" s="46">
        <v>346</v>
      </c>
      <c r="Q48" s="22"/>
      <c r="R48" s="22"/>
      <c r="S48" s="22"/>
      <c r="T48" s="22"/>
      <c r="U48" s="22"/>
      <c r="V48" s="22"/>
      <c r="W48" s="22"/>
      <c r="X48" s="60"/>
      <c r="Y48" s="60"/>
      <c r="Z48" s="61"/>
    </row>
    <row r="49" spans="1:26">
      <c r="A49" s="42" t="s">
        <v>31</v>
      </c>
      <c r="B49" s="43">
        <v>39</v>
      </c>
      <c r="C49" s="43">
        <v>15</v>
      </c>
      <c r="D49" s="43">
        <v>24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 t="s">
        <v>125</v>
      </c>
      <c r="M49" s="43" t="s">
        <v>126</v>
      </c>
      <c r="N49" s="43">
        <v>3</v>
      </c>
      <c r="O49" s="43">
        <v>0</v>
      </c>
      <c r="P49" s="44">
        <v>360</v>
      </c>
      <c r="Q49" s="22"/>
      <c r="R49" s="22"/>
      <c r="S49" s="22"/>
      <c r="T49" s="22"/>
      <c r="U49" s="22"/>
      <c r="V49" s="22"/>
      <c r="W49" s="22"/>
      <c r="X49" s="60"/>
      <c r="Y49" s="60"/>
      <c r="Z49" s="61"/>
    </row>
    <row r="50" spans="1:26">
      <c r="A50" s="42" t="s">
        <v>20</v>
      </c>
      <c r="B50" s="45">
        <v>43</v>
      </c>
      <c r="C50" s="45">
        <v>24</v>
      </c>
      <c r="D50" s="45">
        <v>19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5">
        <v>0</v>
      </c>
      <c r="K50" s="45">
        <v>0</v>
      </c>
      <c r="L50" s="45" t="s">
        <v>127</v>
      </c>
      <c r="M50" s="45" t="s">
        <v>128</v>
      </c>
      <c r="N50" s="45">
        <v>2</v>
      </c>
      <c r="O50" s="45">
        <v>0</v>
      </c>
      <c r="P50" s="46">
        <v>365</v>
      </c>
      <c r="Q50" s="22"/>
      <c r="R50" s="22"/>
      <c r="S50" s="22"/>
      <c r="T50" s="22"/>
      <c r="U50" s="22"/>
      <c r="V50" s="22"/>
      <c r="W50" s="22"/>
      <c r="X50" s="60"/>
      <c r="Y50" s="60"/>
      <c r="Z50" s="61"/>
    </row>
    <row r="51" spans="1:26">
      <c r="A51" s="42" t="s">
        <v>23</v>
      </c>
      <c r="B51" s="43">
        <v>44</v>
      </c>
      <c r="C51" s="43">
        <v>13</v>
      </c>
      <c r="D51" s="43">
        <v>29</v>
      </c>
      <c r="E51" s="43">
        <v>0</v>
      </c>
      <c r="F51" s="43">
        <v>1</v>
      </c>
      <c r="G51" s="43">
        <v>1</v>
      </c>
      <c r="H51" s="43">
        <v>0</v>
      </c>
      <c r="I51" s="43">
        <v>0</v>
      </c>
      <c r="J51" s="43">
        <v>0</v>
      </c>
      <c r="K51" s="43">
        <v>0</v>
      </c>
      <c r="L51" s="43" t="s">
        <v>129</v>
      </c>
      <c r="M51" s="43" t="s">
        <v>130</v>
      </c>
      <c r="N51" s="43">
        <v>1</v>
      </c>
      <c r="O51" s="43">
        <v>1</v>
      </c>
      <c r="P51" s="44">
        <v>371</v>
      </c>
      <c r="Q51" s="22"/>
      <c r="R51" s="22"/>
      <c r="S51" s="22"/>
      <c r="T51" s="22"/>
      <c r="U51" s="22"/>
      <c r="V51" s="22"/>
      <c r="W51" s="22"/>
      <c r="X51" s="60"/>
      <c r="Y51" s="60"/>
      <c r="Z51" s="61"/>
    </row>
    <row r="52" spans="1:26">
      <c r="A52" s="42" t="s">
        <v>46</v>
      </c>
      <c r="B52" s="45">
        <v>43</v>
      </c>
      <c r="C52" s="45">
        <v>14</v>
      </c>
      <c r="D52" s="45">
        <v>25</v>
      </c>
      <c r="E52" s="45">
        <v>1</v>
      </c>
      <c r="F52" s="45">
        <v>2</v>
      </c>
      <c r="G52" s="45">
        <v>0</v>
      </c>
      <c r="H52" s="45">
        <v>1</v>
      </c>
      <c r="I52" s="45">
        <v>0</v>
      </c>
      <c r="J52" s="45">
        <v>0</v>
      </c>
      <c r="K52" s="45">
        <v>0</v>
      </c>
      <c r="L52" s="45" t="s">
        <v>131</v>
      </c>
      <c r="M52" s="45" t="s">
        <v>132</v>
      </c>
      <c r="N52" s="45">
        <v>0</v>
      </c>
      <c r="O52" s="45">
        <v>1</v>
      </c>
      <c r="P52" s="46">
        <v>379</v>
      </c>
      <c r="Q52" s="22"/>
      <c r="R52" s="22"/>
      <c r="S52" s="22"/>
      <c r="T52" s="22"/>
      <c r="U52" s="22"/>
      <c r="V52" s="22"/>
      <c r="W52" s="22"/>
      <c r="X52" s="60"/>
      <c r="Y52" s="60"/>
      <c r="Z52" s="61"/>
    </row>
    <row r="53" spans="1:26">
      <c r="A53" s="42" t="s">
        <v>43</v>
      </c>
      <c r="B53" s="43">
        <v>42</v>
      </c>
      <c r="C53" s="43">
        <v>20</v>
      </c>
      <c r="D53" s="43">
        <v>20</v>
      </c>
      <c r="E53" s="43">
        <v>0</v>
      </c>
      <c r="F53" s="43">
        <v>1</v>
      </c>
      <c r="G53" s="43">
        <v>0</v>
      </c>
      <c r="H53" s="43">
        <v>1</v>
      </c>
      <c r="I53" s="43">
        <v>0</v>
      </c>
      <c r="J53" s="43">
        <v>0</v>
      </c>
      <c r="K53" s="43">
        <v>0</v>
      </c>
      <c r="L53" s="43" t="s">
        <v>133</v>
      </c>
      <c r="M53" s="43" t="s">
        <v>126</v>
      </c>
      <c r="N53" s="43">
        <v>0</v>
      </c>
      <c r="O53" s="43">
        <v>0</v>
      </c>
      <c r="P53" s="44">
        <v>380</v>
      </c>
      <c r="Q53" s="22"/>
      <c r="R53" s="22"/>
      <c r="S53" s="22"/>
      <c r="T53" s="22"/>
      <c r="U53" s="22"/>
      <c r="V53" s="22"/>
      <c r="W53" s="22"/>
      <c r="X53" s="60"/>
      <c r="Y53" s="60"/>
      <c r="Z53" s="61"/>
    </row>
    <row r="54" spans="1:26">
      <c r="A54" s="42" t="s">
        <v>39</v>
      </c>
      <c r="B54" s="45">
        <v>39</v>
      </c>
      <c r="C54" s="45">
        <v>12</v>
      </c>
      <c r="D54" s="45">
        <v>25</v>
      </c>
      <c r="E54" s="45">
        <v>0</v>
      </c>
      <c r="F54" s="45">
        <v>1</v>
      </c>
      <c r="G54" s="45">
        <v>1</v>
      </c>
      <c r="H54" s="45">
        <v>0</v>
      </c>
      <c r="I54" s="45">
        <v>0</v>
      </c>
      <c r="J54" s="45">
        <v>0</v>
      </c>
      <c r="K54" s="45">
        <v>0</v>
      </c>
      <c r="L54" s="45" t="s">
        <v>134</v>
      </c>
      <c r="M54" s="45" t="s">
        <v>135</v>
      </c>
      <c r="N54" s="45">
        <v>2</v>
      </c>
      <c r="O54" s="45">
        <v>0</v>
      </c>
      <c r="P54" s="46">
        <v>383</v>
      </c>
      <c r="Q54" s="22"/>
      <c r="R54" s="22"/>
      <c r="S54" s="22"/>
      <c r="T54" s="22"/>
      <c r="U54" s="22"/>
      <c r="V54" s="22"/>
      <c r="W54" s="22"/>
      <c r="X54" s="60"/>
      <c r="Y54" s="60"/>
      <c r="Z54" s="61"/>
    </row>
    <row r="55" spans="1:26">
      <c r="A55" s="42" t="s">
        <v>41</v>
      </c>
      <c r="B55" s="43">
        <v>42</v>
      </c>
      <c r="C55" s="43">
        <v>10</v>
      </c>
      <c r="D55" s="43">
        <v>30</v>
      </c>
      <c r="E55" s="43">
        <v>0</v>
      </c>
      <c r="F55" s="43">
        <v>0</v>
      </c>
      <c r="G55" s="43">
        <v>0</v>
      </c>
      <c r="H55" s="43">
        <v>1</v>
      </c>
      <c r="I55" s="43">
        <v>0</v>
      </c>
      <c r="J55" s="43">
        <v>0</v>
      </c>
      <c r="K55" s="43">
        <v>0</v>
      </c>
      <c r="L55" s="43" t="s">
        <v>113</v>
      </c>
      <c r="M55" s="43" t="s">
        <v>136</v>
      </c>
      <c r="N55" s="43">
        <v>2</v>
      </c>
      <c r="O55" s="43">
        <v>1</v>
      </c>
      <c r="P55" s="44">
        <v>387</v>
      </c>
      <c r="Q55" s="22"/>
      <c r="R55" s="22"/>
      <c r="S55" s="22"/>
      <c r="T55" s="22"/>
      <c r="U55" s="22"/>
      <c r="V55" s="22"/>
      <c r="W55" s="22"/>
      <c r="X55" s="60"/>
      <c r="Y55" s="60"/>
      <c r="Z55" s="61"/>
    </row>
    <row r="56" spans="1:26">
      <c r="A56" s="42" t="s">
        <v>32</v>
      </c>
      <c r="B56" s="45">
        <v>42</v>
      </c>
      <c r="C56" s="45">
        <v>18</v>
      </c>
      <c r="D56" s="45">
        <v>23</v>
      </c>
      <c r="E56" s="45">
        <v>0</v>
      </c>
      <c r="F56" s="45">
        <v>0</v>
      </c>
      <c r="G56" s="45">
        <v>1</v>
      </c>
      <c r="H56" s="45">
        <v>0</v>
      </c>
      <c r="I56" s="45">
        <v>0</v>
      </c>
      <c r="J56" s="45">
        <v>0</v>
      </c>
      <c r="K56" s="45">
        <v>0</v>
      </c>
      <c r="L56" s="45" t="s">
        <v>137</v>
      </c>
      <c r="M56" s="45" t="s">
        <v>138</v>
      </c>
      <c r="N56" s="45">
        <v>1</v>
      </c>
      <c r="O56" s="45">
        <v>0</v>
      </c>
      <c r="P56" s="46">
        <v>398</v>
      </c>
      <c r="Q56" s="22"/>
      <c r="R56" s="22"/>
      <c r="S56" s="22"/>
      <c r="T56" s="22"/>
      <c r="U56" s="22"/>
      <c r="V56" s="22"/>
      <c r="W56" s="22"/>
      <c r="X56" s="60"/>
      <c r="Y56" s="60"/>
      <c r="Z56" s="61"/>
    </row>
    <row r="57" spans="1:26">
      <c r="A57" s="42" t="s">
        <v>30</v>
      </c>
      <c r="B57" s="43">
        <v>43</v>
      </c>
      <c r="C57" s="43">
        <v>12</v>
      </c>
      <c r="D57" s="43">
        <v>27</v>
      </c>
      <c r="E57" s="43">
        <v>1</v>
      </c>
      <c r="F57" s="43">
        <v>0</v>
      </c>
      <c r="G57" s="43">
        <v>2</v>
      </c>
      <c r="H57" s="43">
        <v>0</v>
      </c>
      <c r="I57" s="43">
        <v>1</v>
      </c>
      <c r="J57" s="43">
        <v>0</v>
      </c>
      <c r="K57" s="43">
        <v>0</v>
      </c>
      <c r="L57" s="43" t="s">
        <v>134</v>
      </c>
      <c r="M57" s="43" t="s">
        <v>139</v>
      </c>
      <c r="N57" s="43">
        <v>3</v>
      </c>
      <c r="O57" s="43">
        <v>0</v>
      </c>
      <c r="P57" s="44">
        <v>401</v>
      </c>
      <c r="Q57" s="22"/>
      <c r="R57" s="22"/>
      <c r="S57" s="22"/>
      <c r="T57" s="22"/>
      <c r="U57" s="22"/>
      <c r="V57" s="22"/>
      <c r="W57" s="22"/>
      <c r="X57" s="60"/>
      <c r="Y57" s="60"/>
      <c r="Z57" s="61"/>
    </row>
    <row r="58" spans="1:26">
      <c r="A58" s="42" t="s">
        <v>37</v>
      </c>
      <c r="B58" s="45">
        <v>49</v>
      </c>
      <c r="C58" s="45">
        <v>16</v>
      </c>
      <c r="D58" s="45">
        <v>30</v>
      </c>
      <c r="E58" s="45">
        <v>0</v>
      </c>
      <c r="F58" s="45">
        <v>0</v>
      </c>
      <c r="G58" s="45">
        <v>1</v>
      </c>
      <c r="H58" s="45">
        <v>0</v>
      </c>
      <c r="I58" s="45">
        <v>1</v>
      </c>
      <c r="J58" s="45">
        <v>1</v>
      </c>
      <c r="K58" s="45">
        <v>0</v>
      </c>
      <c r="L58" s="45" t="s">
        <v>140</v>
      </c>
      <c r="M58" s="45" t="s">
        <v>141</v>
      </c>
      <c r="N58" s="45">
        <v>0</v>
      </c>
      <c r="O58" s="45">
        <v>0</v>
      </c>
      <c r="P58" s="46">
        <v>411</v>
      </c>
      <c r="Q58" s="22"/>
      <c r="R58" s="22"/>
      <c r="S58" s="22"/>
      <c r="T58" s="22"/>
      <c r="U58" s="22"/>
      <c r="V58" s="22"/>
      <c r="W58" s="22"/>
      <c r="X58" s="60"/>
      <c r="Y58" s="60"/>
      <c r="Z58" s="61"/>
    </row>
    <row r="59" spans="1:26">
      <c r="A59" s="42" t="s">
        <v>25</v>
      </c>
      <c r="B59" s="43">
        <v>42</v>
      </c>
      <c r="C59" s="43">
        <v>16</v>
      </c>
      <c r="D59" s="43">
        <v>24</v>
      </c>
      <c r="E59" s="43">
        <v>0</v>
      </c>
      <c r="F59" s="43">
        <v>0</v>
      </c>
      <c r="G59" s="43">
        <v>1</v>
      </c>
      <c r="H59" s="43">
        <v>1</v>
      </c>
      <c r="I59" s="43">
        <v>0</v>
      </c>
      <c r="J59" s="43">
        <v>0</v>
      </c>
      <c r="K59" s="43">
        <v>0</v>
      </c>
      <c r="L59" s="43" t="s">
        <v>142</v>
      </c>
      <c r="M59" s="43" t="s">
        <v>143</v>
      </c>
      <c r="N59" s="43">
        <v>3</v>
      </c>
      <c r="O59" s="43">
        <v>1</v>
      </c>
      <c r="P59" s="44">
        <v>412</v>
      </c>
      <c r="Q59" s="22"/>
      <c r="R59" s="22"/>
      <c r="S59" s="22"/>
      <c r="T59" s="22"/>
      <c r="U59" s="22"/>
      <c r="V59" s="22"/>
      <c r="W59" s="22"/>
      <c r="X59" s="60"/>
      <c r="Y59" s="60"/>
      <c r="Z59" s="61"/>
    </row>
    <row r="60" spans="1:26">
      <c r="A60" s="42" t="s">
        <v>21</v>
      </c>
      <c r="B60" s="45">
        <v>47</v>
      </c>
      <c r="C60" s="45">
        <v>16</v>
      </c>
      <c r="D60" s="45">
        <v>31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 t="s">
        <v>144</v>
      </c>
      <c r="M60" s="45" t="s">
        <v>145</v>
      </c>
      <c r="N60" s="45">
        <v>3</v>
      </c>
      <c r="O60" s="45">
        <v>1</v>
      </c>
      <c r="P60" s="46">
        <v>413</v>
      </c>
      <c r="Q60" s="22"/>
      <c r="R60" s="22"/>
      <c r="S60" s="22"/>
      <c r="T60" s="22"/>
      <c r="U60" s="22"/>
      <c r="V60" s="22"/>
      <c r="W60" s="22"/>
      <c r="X60" s="60"/>
      <c r="Y60" s="60"/>
      <c r="Z60" s="61"/>
    </row>
    <row r="61" spans="1:26">
      <c r="A61" s="42" t="s">
        <v>22</v>
      </c>
      <c r="B61" s="43">
        <v>49</v>
      </c>
      <c r="C61" s="43">
        <v>15</v>
      </c>
      <c r="D61" s="43">
        <v>32</v>
      </c>
      <c r="E61" s="43">
        <v>1</v>
      </c>
      <c r="F61" s="43">
        <v>0</v>
      </c>
      <c r="G61" s="43">
        <v>0</v>
      </c>
      <c r="H61" s="43">
        <v>1</v>
      </c>
      <c r="I61" s="43">
        <v>0</v>
      </c>
      <c r="J61" s="43">
        <v>0</v>
      </c>
      <c r="K61" s="43">
        <v>0</v>
      </c>
      <c r="L61" s="43" t="s">
        <v>146</v>
      </c>
      <c r="M61" s="43" t="s">
        <v>147</v>
      </c>
      <c r="N61" s="43">
        <v>3</v>
      </c>
      <c r="O61" s="43">
        <v>0</v>
      </c>
      <c r="P61" s="44">
        <v>415</v>
      </c>
      <c r="Q61" s="22"/>
      <c r="R61" s="22"/>
      <c r="S61" s="22"/>
      <c r="T61" s="22"/>
      <c r="U61" s="22"/>
      <c r="V61" s="22"/>
      <c r="W61" s="22"/>
      <c r="X61" s="60"/>
      <c r="Y61" s="60"/>
      <c r="Z61" s="61"/>
    </row>
    <row r="62" spans="1:26">
      <c r="A62" s="42" t="s">
        <v>42</v>
      </c>
      <c r="B62" s="45">
        <v>50</v>
      </c>
      <c r="C62" s="45">
        <v>18</v>
      </c>
      <c r="D62" s="45">
        <v>29</v>
      </c>
      <c r="E62" s="45">
        <v>1</v>
      </c>
      <c r="F62" s="45">
        <v>1</v>
      </c>
      <c r="G62" s="45">
        <v>1</v>
      </c>
      <c r="H62" s="45">
        <v>0</v>
      </c>
      <c r="I62" s="45">
        <v>0</v>
      </c>
      <c r="J62" s="45">
        <v>0</v>
      </c>
      <c r="K62" s="45">
        <v>0</v>
      </c>
      <c r="L62" s="45" t="s">
        <v>148</v>
      </c>
      <c r="M62" s="45" t="s">
        <v>149</v>
      </c>
      <c r="N62" s="45">
        <v>3</v>
      </c>
      <c r="O62" s="45">
        <v>0</v>
      </c>
      <c r="P62" s="46">
        <v>424</v>
      </c>
      <c r="Q62" s="22"/>
      <c r="R62" s="22"/>
      <c r="S62" s="22"/>
      <c r="T62" s="22"/>
      <c r="U62" s="22"/>
      <c r="V62" s="22"/>
      <c r="W62" s="22"/>
      <c r="X62" s="60"/>
      <c r="Y62" s="60"/>
      <c r="Z62" s="61"/>
    </row>
    <row r="63" spans="1:26">
      <c r="A63" s="42" t="s">
        <v>48</v>
      </c>
      <c r="B63" s="43">
        <v>49</v>
      </c>
      <c r="C63" s="43">
        <v>22</v>
      </c>
      <c r="D63" s="43">
        <v>23</v>
      </c>
      <c r="E63" s="43">
        <v>1</v>
      </c>
      <c r="F63" s="43">
        <v>2</v>
      </c>
      <c r="G63" s="43">
        <v>1</v>
      </c>
      <c r="H63" s="43">
        <v>0</v>
      </c>
      <c r="I63" s="43">
        <v>0</v>
      </c>
      <c r="J63" s="43">
        <v>0</v>
      </c>
      <c r="K63" s="43">
        <v>0</v>
      </c>
      <c r="L63" s="43" t="s">
        <v>150</v>
      </c>
      <c r="M63" s="43" t="s">
        <v>151</v>
      </c>
      <c r="N63" s="43">
        <v>1</v>
      </c>
      <c r="O63" s="43">
        <v>1</v>
      </c>
      <c r="P63" s="44">
        <v>432</v>
      </c>
      <c r="Q63" s="22"/>
      <c r="R63" s="22"/>
      <c r="S63" s="22"/>
      <c r="T63" s="22"/>
      <c r="U63" s="22"/>
      <c r="V63" s="22"/>
      <c r="W63" s="22"/>
      <c r="X63" s="60"/>
      <c r="Y63" s="60"/>
      <c r="Z63" s="61"/>
    </row>
    <row r="64" spans="1:26">
      <c r="A64" s="42" t="s">
        <v>29</v>
      </c>
      <c r="B64" s="45">
        <v>49</v>
      </c>
      <c r="C64" s="45">
        <v>21</v>
      </c>
      <c r="D64" s="45">
        <v>25</v>
      </c>
      <c r="E64" s="45">
        <v>0</v>
      </c>
      <c r="F64" s="45">
        <v>2</v>
      </c>
      <c r="G64" s="45">
        <v>0</v>
      </c>
      <c r="H64" s="45">
        <v>1</v>
      </c>
      <c r="I64" s="45">
        <v>0</v>
      </c>
      <c r="J64" s="45">
        <v>0</v>
      </c>
      <c r="K64" s="45">
        <v>0</v>
      </c>
      <c r="L64" s="45" t="s">
        <v>152</v>
      </c>
      <c r="M64" s="45" t="s">
        <v>153</v>
      </c>
      <c r="N64" s="45">
        <v>4</v>
      </c>
      <c r="O64" s="45">
        <v>0</v>
      </c>
      <c r="P64" s="46">
        <v>439</v>
      </c>
      <c r="Q64" s="22"/>
      <c r="R64" s="22"/>
      <c r="S64" s="22"/>
      <c r="T64" s="22"/>
      <c r="U64" s="22"/>
      <c r="V64" s="22"/>
      <c r="W64" s="22"/>
      <c r="X64" s="60"/>
      <c r="Y64" s="60"/>
      <c r="Z64" s="61"/>
    </row>
    <row r="65" spans="1:26">
      <c r="A65" s="42" t="s">
        <v>38</v>
      </c>
      <c r="B65" s="43">
        <v>52</v>
      </c>
      <c r="C65" s="43">
        <v>18</v>
      </c>
      <c r="D65" s="43">
        <v>33</v>
      </c>
      <c r="E65" s="43">
        <v>0</v>
      </c>
      <c r="F65" s="43">
        <v>0</v>
      </c>
      <c r="G65" s="43">
        <v>1</v>
      </c>
      <c r="H65" s="43">
        <v>0</v>
      </c>
      <c r="I65" s="43">
        <v>0</v>
      </c>
      <c r="J65" s="43">
        <v>0</v>
      </c>
      <c r="K65" s="43">
        <v>0</v>
      </c>
      <c r="L65" s="43" t="s">
        <v>154</v>
      </c>
      <c r="M65" s="43" t="s">
        <v>155</v>
      </c>
      <c r="N65" s="43">
        <v>3</v>
      </c>
      <c r="O65" s="43">
        <v>0</v>
      </c>
      <c r="P65" s="44">
        <v>451</v>
      </c>
      <c r="Q65" s="22"/>
      <c r="R65" s="22"/>
      <c r="S65" s="22"/>
      <c r="T65" s="22"/>
      <c r="U65" s="22"/>
      <c r="V65" s="22"/>
      <c r="W65" s="22"/>
      <c r="X65" s="60"/>
      <c r="Y65" s="60"/>
      <c r="Z65" s="61"/>
    </row>
    <row r="66" spans="1:26">
      <c r="A66" s="42" t="s">
        <v>47</v>
      </c>
      <c r="B66" s="45">
        <v>55</v>
      </c>
      <c r="C66" s="45">
        <v>21</v>
      </c>
      <c r="D66" s="45">
        <v>30</v>
      </c>
      <c r="E66" s="45">
        <v>0</v>
      </c>
      <c r="F66" s="45">
        <v>0</v>
      </c>
      <c r="G66" s="45">
        <v>2</v>
      </c>
      <c r="H66" s="45">
        <v>2</v>
      </c>
      <c r="I66" s="45">
        <v>0</v>
      </c>
      <c r="J66" s="45">
        <v>0</v>
      </c>
      <c r="K66" s="45">
        <v>0</v>
      </c>
      <c r="L66" s="45" t="s">
        <v>156</v>
      </c>
      <c r="M66" s="45" t="s">
        <v>123</v>
      </c>
      <c r="N66" s="45">
        <v>1</v>
      </c>
      <c r="O66" s="45">
        <v>0</v>
      </c>
      <c r="P66" s="46">
        <v>478</v>
      </c>
      <c r="Q66" s="22"/>
      <c r="R66" s="22"/>
      <c r="S66" s="22"/>
      <c r="T66" s="22"/>
      <c r="U66" s="22"/>
      <c r="V66" s="22"/>
      <c r="W66" s="22"/>
      <c r="X66" s="60"/>
      <c r="Y66" s="60"/>
      <c r="Z66" s="61"/>
    </row>
    <row r="67" spans="1:26">
      <c r="A67" s="42" t="s">
        <v>35</v>
      </c>
      <c r="B67" s="43">
        <v>55</v>
      </c>
      <c r="C67" s="43">
        <v>19</v>
      </c>
      <c r="D67" s="43">
        <v>31</v>
      </c>
      <c r="E67" s="43">
        <v>0</v>
      </c>
      <c r="F67" s="43">
        <v>0</v>
      </c>
      <c r="G67" s="43">
        <v>0</v>
      </c>
      <c r="H67" s="43">
        <v>4</v>
      </c>
      <c r="I67" s="43">
        <v>0</v>
      </c>
      <c r="J67" s="43">
        <v>1</v>
      </c>
      <c r="K67" s="43">
        <v>0</v>
      </c>
      <c r="L67" s="43" t="s">
        <v>157</v>
      </c>
      <c r="M67" s="43" t="s">
        <v>158</v>
      </c>
      <c r="N67" s="43">
        <v>0</v>
      </c>
      <c r="O67" s="43">
        <v>0</v>
      </c>
      <c r="P67" s="44">
        <v>488</v>
      </c>
      <c r="Q67" s="22"/>
      <c r="R67" s="22"/>
      <c r="S67" s="22"/>
      <c r="T67" s="22"/>
      <c r="U67" s="22"/>
      <c r="V67" s="22"/>
      <c r="W67" s="22"/>
      <c r="X67" s="60"/>
      <c r="Y67" s="60"/>
      <c r="Z67" s="61"/>
    </row>
    <row r="68" spans="1:26">
      <c r="A68" s="42" t="s">
        <v>33</v>
      </c>
      <c r="B68" s="45">
        <v>60</v>
      </c>
      <c r="C68" s="45">
        <v>18</v>
      </c>
      <c r="D68" s="45">
        <v>33</v>
      </c>
      <c r="E68" s="45">
        <v>0</v>
      </c>
      <c r="F68" s="45">
        <v>0</v>
      </c>
      <c r="G68" s="45">
        <v>6</v>
      </c>
      <c r="H68" s="45">
        <v>3</v>
      </c>
      <c r="I68" s="45">
        <v>0</v>
      </c>
      <c r="J68" s="45">
        <v>0</v>
      </c>
      <c r="K68" s="45">
        <v>0</v>
      </c>
      <c r="L68" s="45" t="s">
        <v>159</v>
      </c>
      <c r="M68" s="45" t="s">
        <v>128</v>
      </c>
      <c r="N68" s="45">
        <v>3</v>
      </c>
      <c r="O68" s="45">
        <v>1</v>
      </c>
      <c r="P68" s="46">
        <v>492</v>
      </c>
      <c r="Q68" s="22"/>
      <c r="R68" s="22"/>
      <c r="S68" s="22"/>
      <c r="T68" s="22"/>
      <c r="U68" s="22"/>
      <c r="V68" s="22"/>
      <c r="W68" s="22"/>
      <c r="X68" s="60"/>
      <c r="Y68" s="60"/>
      <c r="Z68" s="61"/>
    </row>
    <row r="69" spans="1:26">
      <c r="A69" s="42" t="s">
        <v>45</v>
      </c>
      <c r="B69" s="43">
        <v>57</v>
      </c>
      <c r="C69" s="43">
        <v>20</v>
      </c>
      <c r="D69" s="43">
        <v>36</v>
      </c>
      <c r="E69" s="43">
        <v>0</v>
      </c>
      <c r="F69" s="43">
        <v>0</v>
      </c>
      <c r="G69" s="43">
        <v>1</v>
      </c>
      <c r="H69" s="43">
        <v>0</v>
      </c>
      <c r="I69" s="43">
        <v>0</v>
      </c>
      <c r="J69" s="43">
        <v>0</v>
      </c>
      <c r="K69" s="43">
        <v>0</v>
      </c>
      <c r="L69" s="43" t="s">
        <v>160</v>
      </c>
      <c r="M69" s="43" t="s">
        <v>161</v>
      </c>
      <c r="N69" s="43">
        <v>1</v>
      </c>
      <c r="O69" s="43">
        <v>0</v>
      </c>
      <c r="P69" s="44">
        <v>503</v>
      </c>
      <c r="Q69" s="22"/>
      <c r="R69" s="22"/>
      <c r="S69" s="22"/>
      <c r="T69" s="22"/>
      <c r="U69" s="22"/>
      <c r="V69" s="22"/>
      <c r="W69" s="22"/>
      <c r="X69" s="60"/>
      <c r="Y69" s="60"/>
      <c r="Z69" s="61"/>
    </row>
    <row r="70" spans="1:26">
      <c r="A70" s="47" t="s">
        <v>18</v>
      </c>
      <c r="B70" s="48">
        <v>59</v>
      </c>
      <c r="C70" s="48">
        <v>24</v>
      </c>
      <c r="D70" s="48">
        <v>35</v>
      </c>
      <c r="E70" s="48">
        <v>0</v>
      </c>
      <c r="F70" s="48">
        <v>0</v>
      </c>
      <c r="G70" s="48">
        <v>0</v>
      </c>
      <c r="H70" s="48">
        <v>0</v>
      </c>
      <c r="I70" s="48">
        <v>0</v>
      </c>
      <c r="J70" s="48">
        <v>0</v>
      </c>
      <c r="K70" s="48">
        <v>0</v>
      </c>
      <c r="L70" s="48" t="s">
        <v>162</v>
      </c>
      <c r="M70" s="48" t="s">
        <v>163</v>
      </c>
      <c r="N70" s="48">
        <v>3</v>
      </c>
      <c r="O70" s="48">
        <v>1</v>
      </c>
      <c r="P70" s="49">
        <v>511</v>
      </c>
      <c r="Q70" s="22"/>
      <c r="R70" s="22"/>
      <c r="S70" s="22"/>
      <c r="T70" s="22"/>
      <c r="U70" s="22"/>
      <c r="V70" s="22"/>
      <c r="W70" s="22"/>
      <c r="X70" s="60"/>
      <c r="Y70" s="60"/>
      <c r="Z70" s="61"/>
    </row>
    <row r="71" spans="1:26">
      <c r="A71" s="21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60"/>
      <c r="Y71" s="60"/>
      <c r="Z71" s="61"/>
    </row>
    <row r="72" spans="1:26">
      <c r="A72" s="126" t="s">
        <v>164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7"/>
      <c r="Q72" s="22"/>
      <c r="R72" s="22"/>
      <c r="S72" s="22"/>
      <c r="T72" s="22"/>
      <c r="U72" s="22"/>
      <c r="V72" s="22"/>
      <c r="W72" s="22"/>
      <c r="X72" s="60"/>
      <c r="Y72" s="60"/>
      <c r="Z72" s="61"/>
    </row>
    <row r="73" spans="1:26">
      <c r="A73" s="62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1"/>
    </row>
    <row r="74" spans="1:26">
      <c r="A74" s="62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1"/>
    </row>
    <row r="75" spans="1:26">
      <c r="A75" s="62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1"/>
    </row>
    <row r="76" spans="1:26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1"/>
    </row>
    <row r="77" spans="1:26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1"/>
    </row>
    <row r="78" spans="1:26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1"/>
    </row>
    <row r="79" spans="1:26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1"/>
    </row>
    <row r="80" spans="1:26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1"/>
    </row>
    <row r="81" spans="1:26">
      <c r="A81" s="6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1"/>
    </row>
    <row r="82" spans="1:26">
      <c r="A82" s="6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1"/>
    </row>
    <row r="83" spans="1:26">
      <c r="A83" s="6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1"/>
    </row>
    <row r="84" spans="1:26">
      <c r="A84" s="62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1"/>
    </row>
    <row r="85" spans="1:26">
      <c r="A85" s="62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1"/>
    </row>
    <row r="86" spans="1:26">
      <c r="A86" s="62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1"/>
    </row>
    <row r="87" spans="1:26">
      <c r="A87" s="62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1"/>
    </row>
    <row r="88" spans="1:26">
      <c r="A88" s="62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1"/>
    </row>
    <row r="89" spans="1:26">
      <c r="A89" s="62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1"/>
    </row>
    <row r="90" spans="1:26">
      <c r="A90" s="62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1"/>
    </row>
    <row r="91" spans="1:26">
      <c r="A91" s="62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1"/>
    </row>
    <row r="92" spans="1:26">
      <c r="A92" s="62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1"/>
    </row>
    <row r="93" spans="1:26">
      <c r="A93" s="62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1"/>
    </row>
    <row r="94" spans="1:26">
      <c r="A94" s="62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1"/>
    </row>
    <row r="95" spans="1:26">
      <c r="A95" s="62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1"/>
    </row>
    <row r="96" spans="1:26">
      <c r="A96" s="62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1"/>
    </row>
    <row r="97" spans="1:26">
      <c r="A97" s="62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1"/>
    </row>
    <row r="98" spans="1:26">
      <c r="A98" s="62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1"/>
    </row>
    <row r="99" spans="1:26">
      <c r="A99" s="62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1"/>
    </row>
    <row r="100" spans="1:26">
      <c r="A100" s="62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1"/>
    </row>
    <row r="101" spans="1:26">
      <c r="A101" s="62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1"/>
    </row>
    <row r="102" spans="1:26">
      <c r="A102" s="62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1"/>
    </row>
    <row r="103" spans="1:26">
      <c r="A103" s="62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1"/>
    </row>
    <row r="104" spans="1:26">
      <c r="A104" s="62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1"/>
    </row>
    <row r="105" spans="1:26">
      <c r="A105" s="62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1"/>
    </row>
    <row r="106" spans="1:26">
      <c r="A106" s="62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1"/>
    </row>
    <row r="107" spans="1:26">
      <c r="A107" s="62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1"/>
    </row>
    <row r="108" spans="1:26">
      <c r="A108" s="62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1"/>
    </row>
    <row r="109" spans="1:26">
      <c r="A109" s="62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1"/>
    </row>
    <row r="110" spans="1:26">
      <c r="A110" s="62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1"/>
    </row>
    <row r="111" spans="1:26">
      <c r="A111" s="62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1"/>
    </row>
    <row r="112" spans="1:26">
      <c r="A112" s="62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1"/>
    </row>
    <row r="113" spans="1:26">
      <c r="A113" s="62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1"/>
    </row>
    <row r="114" spans="1:26">
      <c r="A114" s="62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1"/>
    </row>
    <row r="115" spans="1:26">
      <c r="A115" s="62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1"/>
    </row>
    <row r="116" spans="1:26">
      <c r="A116" s="62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1"/>
    </row>
    <row r="117" spans="1:26">
      <c r="A117" s="62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1"/>
    </row>
    <row r="118" spans="1:26">
      <c r="A118" s="62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1"/>
    </row>
    <row r="119" spans="1:26">
      <c r="A119" s="62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1"/>
    </row>
    <row r="120" spans="1:26">
      <c r="A120" s="62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1"/>
    </row>
    <row r="121" spans="1:26">
      <c r="A121" s="62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1"/>
    </row>
    <row r="122" spans="1:26">
      <c r="A122" s="62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1"/>
    </row>
    <row r="123" spans="1:26">
      <c r="A123" s="62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1"/>
    </row>
    <row r="124" spans="1:26">
      <c r="A124" s="62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1"/>
    </row>
    <row r="125" spans="1:26">
      <c r="A125" s="62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1"/>
    </row>
    <row r="126" spans="1:26">
      <c r="A126" s="62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1"/>
    </row>
    <row r="127" spans="1:26">
      <c r="A127" s="62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1"/>
    </row>
    <row r="128" spans="1:26">
      <c r="A128" s="62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1"/>
    </row>
    <row r="129" spans="1:26">
      <c r="A129" s="62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1"/>
    </row>
    <row r="130" spans="1:26">
      <c r="A130" s="62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1"/>
    </row>
    <row r="131" spans="1:26">
      <c r="A131" s="62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1"/>
    </row>
    <row r="132" spans="1:26">
      <c r="A132" s="62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1"/>
    </row>
    <row r="133" spans="1:26">
      <c r="A133" s="62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1"/>
    </row>
    <row r="134" spans="1:26">
      <c r="A134" s="62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1"/>
    </row>
    <row r="135" spans="1:26">
      <c r="A135" s="62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1"/>
    </row>
    <row r="136" spans="1:26">
      <c r="A136" s="62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1"/>
    </row>
    <row r="137" spans="1:26">
      <c r="A137" s="62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1"/>
    </row>
    <row r="138" spans="1:26">
      <c r="A138" s="62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1"/>
    </row>
    <row r="139" spans="1:26">
      <c r="A139" s="62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1"/>
    </row>
    <row r="140" spans="1:26">
      <c r="A140" s="62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1"/>
    </row>
    <row r="141" spans="1:26">
      <c r="A141" s="62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1"/>
    </row>
    <row r="142" spans="1:26">
      <c r="A142" s="62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1"/>
    </row>
    <row r="143" spans="1:26">
      <c r="A143" s="62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1"/>
    </row>
    <row r="144" spans="1:26">
      <c r="A144" s="62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1"/>
    </row>
    <row r="145" spans="1:26">
      <c r="A145" s="62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1"/>
    </row>
    <row r="146" spans="1:26">
      <c r="A146" s="62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1"/>
    </row>
    <row r="147" spans="1:26">
      <c r="A147" s="62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1"/>
    </row>
    <row r="148" spans="1:26">
      <c r="A148" s="62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1"/>
    </row>
    <row r="149" spans="1:26">
      <c r="A149" s="62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1"/>
    </row>
    <row r="150" spans="1:26">
      <c r="A150" s="62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1"/>
    </row>
    <row r="151" spans="1:26">
      <c r="A151" s="62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1"/>
    </row>
    <row r="152" spans="1:26">
      <c r="A152" s="62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1"/>
    </row>
    <row r="153" spans="1:26">
      <c r="A153" s="62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1"/>
    </row>
    <row r="154" spans="1:26">
      <c r="A154" s="62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1"/>
    </row>
    <row r="155" spans="1:26">
      <c r="A155" s="62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1"/>
    </row>
    <row r="156" spans="1:26">
      <c r="A156" s="62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1"/>
    </row>
    <row r="157" spans="1:26">
      <c r="A157" s="62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1"/>
    </row>
    <row r="158" spans="1:26">
      <c r="A158" s="62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1"/>
    </row>
    <row r="159" spans="1:26">
      <c r="A159" s="62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1"/>
    </row>
    <row r="160" spans="1:26">
      <c r="A160" s="62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1"/>
    </row>
    <row r="161" spans="1:26">
      <c r="A161" s="62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1"/>
    </row>
    <row r="162" spans="1:26">
      <c r="A162" s="62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1"/>
    </row>
    <row r="163" spans="1:26">
      <c r="A163" s="62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1"/>
    </row>
    <row r="164" spans="1:26">
      <c r="A164" s="62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1"/>
    </row>
    <row r="165" spans="1:26">
      <c r="A165" s="62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1"/>
    </row>
    <row r="166" spans="1:26">
      <c r="A166" s="62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1"/>
    </row>
    <row r="167" spans="1:26">
      <c r="A167" s="62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1"/>
    </row>
    <row r="168" spans="1:26">
      <c r="A168" s="62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1"/>
    </row>
    <row r="169" spans="1:26">
      <c r="A169" s="62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1"/>
    </row>
    <row r="170" spans="1:26">
      <c r="A170" s="62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1"/>
    </row>
    <row r="171" spans="1:26">
      <c r="A171" s="62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1"/>
    </row>
    <row r="172" spans="1:26">
      <c r="A172" s="62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1"/>
    </row>
    <row r="173" spans="1:26">
      <c r="A173" s="62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1"/>
    </row>
    <row r="174" spans="1:26">
      <c r="A174" s="62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1"/>
    </row>
    <row r="175" spans="1:26">
      <c r="A175" s="62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1"/>
    </row>
    <row r="176" spans="1:26">
      <c r="A176" s="62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1"/>
    </row>
    <row r="177" spans="1:26">
      <c r="A177" s="62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1"/>
    </row>
    <row r="178" spans="1:26">
      <c r="A178" s="62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1"/>
    </row>
    <row r="179" spans="1:26">
      <c r="A179" s="62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1"/>
    </row>
    <row r="180" spans="1:26">
      <c r="A180" s="62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1"/>
    </row>
    <row r="181" spans="1:26">
      <c r="A181" s="62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1"/>
    </row>
    <row r="182" spans="1:26">
      <c r="A182" s="62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1"/>
    </row>
    <row r="183" spans="1:26">
      <c r="A183" s="62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1"/>
    </row>
    <row r="184" spans="1:26">
      <c r="A184" s="62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1"/>
    </row>
    <row r="185" spans="1:26">
      <c r="A185" s="62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1"/>
    </row>
    <row r="186" spans="1:26">
      <c r="A186" s="62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1"/>
    </row>
    <row r="187" spans="1:26">
      <c r="A187" s="62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1"/>
    </row>
    <row r="188" spans="1:26">
      <c r="A188" s="62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1"/>
    </row>
    <row r="189" spans="1:26">
      <c r="A189" s="62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1"/>
    </row>
    <row r="190" spans="1:26">
      <c r="A190" s="62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1"/>
    </row>
    <row r="191" spans="1:26">
      <c r="A191" s="62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1"/>
    </row>
    <row r="192" spans="1:26">
      <c r="A192" s="62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1"/>
    </row>
    <row r="193" spans="1:26">
      <c r="A193" s="62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1"/>
    </row>
    <row r="194" spans="1:26">
      <c r="A194" s="62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1"/>
    </row>
    <row r="195" spans="1:26">
      <c r="A195" s="62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1"/>
    </row>
    <row r="196" spans="1:26">
      <c r="A196" s="62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1"/>
    </row>
    <row r="197" spans="1:26">
      <c r="A197" s="62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1"/>
    </row>
    <row r="198" spans="1:26">
      <c r="A198" s="62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1"/>
    </row>
    <row r="199" spans="1:26">
      <c r="A199" s="62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1"/>
    </row>
    <row r="200" spans="1:26">
      <c r="A200" s="62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1"/>
    </row>
    <row r="201" spans="1:26">
      <c r="A201" s="62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1"/>
    </row>
    <row r="202" spans="1:26">
      <c r="A202" s="62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1"/>
    </row>
    <row r="203" spans="1:26">
      <c r="A203" s="62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1"/>
    </row>
    <row r="204" spans="1:26">
      <c r="A204" s="62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1"/>
    </row>
    <row r="205" spans="1:26">
      <c r="A205" s="62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1"/>
    </row>
    <row r="206" spans="1:26">
      <c r="A206" s="62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1"/>
    </row>
    <row r="207" spans="1:26">
      <c r="A207" s="62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1"/>
    </row>
    <row r="208" spans="1:26">
      <c r="A208" s="62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1"/>
    </row>
    <row r="209" spans="1:26">
      <c r="A209" s="62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1"/>
    </row>
    <row r="210" spans="1:26">
      <c r="A210" s="62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1"/>
    </row>
    <row r="211" spans="1:26">
      <c r="A211" s="62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1"/>
    </row>
    <row r="212" spans="1:26">
      <c r="A212" s="62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1"/>
    </row>
    <row r="213" spans="1:26">
      <c r="A213" s="62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1"/>
    </row>
    <row r="214" spans="1:26">
      <c r="A214" s="62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1"/>
    </row>
    <row r="215" spans="1:26">
      <c r="A215" s="62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1"/>
    </row>
    <row r="216" spans="1:26">
      <c r="A216" s="62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1"/>
    </row>
    <row r="217" spans="1:26">
      <c r="A217" s="62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1"/>
    </row>
    <row r="218" spans="1:26">
      <c r="A218" s="62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1"/>
    </row>
    <row r="219" spans="1:26">
      <c r="A219" s="62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1"/>
    </row>
    <row r="220" spans="1:26">
      <c r="A220" s="62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1"/>
    </row>
    <row r="221" spans="1:26">
      <c r="A221" s="62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1"/>
    </row>
    <row r="222" spans="1:26">
      <c r="A222" s="62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1"/>
    </row>
    <row r="223" spans="1:26">
      <c r="A223" s="62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1"/>
    </row>
    <row r="224" spans="1:26">
      <c r="A224" s="62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1"/>
    </row>
    <row r="225" spans="1:26">
      <c r="A225" s="62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1"/>
    </row>
    <row r="226" spans="1:26">
      <c r="A226" s="62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1"/>
    </row>
    <row r="227" spans="1:26">
      <c r="A227" s="62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1"/>
    </row>
    <row r="228" spans="1:26">
      <c r="A228" s="62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1"/>
    </row>
    <row r="229" spans="1:26">
      <c r="A229" s="62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1"/>
    </row>
    <row r="230" spans="1:26">
      <c r="A230" s="62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1"/>
    </row>
    <row r="231" spans="1:26">
      <c r="A231" s="62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1"/>
    </row>
    <row r="232" spans="1:26">
      <c r="A232" s="62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1"/>
    </row>
    <row r="233" spans="1:26">
      <c r="A233" s="62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1"/>
    </row>
    <row r="234" spans="1:26">
      <c r="A234" s="62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1"/>
    </row>
    <row r="235" spans="1:26">
      <c r="A235" s="62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1"/>
    </row>
    <row r="236" spans="1:26">
      <c r="A236" s="62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1"/>
    </row>
    <row r="237" spans="1:26">
      <c r="A237" s="62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1"/>
    </row>
    <row r="238" spans="1:26">
      <c r="A238" s="62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1"/>
    </row>
    <row r="239" spans="1:26">
      <c r="A239" s="62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1"/>
    </row>
    <row r="240" spans="1:26">
      <c r="A240" s="62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1"/>
    </row>
    <row r="241" spans="1:26">
      <c r="A241" s="62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1"/>
    </row>
    <row r="242" spans="1:26">
      <c r="A242" s="62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1"/>
    </row>
    <row r="243" spans="1:26">
      <c r="A243" s="62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1"/>
    </row>
    <row r="244" spans="1:26">
      <c r="A244" s="62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1"/>
    </row>
    <row r="245" spans="1:26">
      <c r="A245" s="62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1"/>
    </row>
    <row r="246" spans="1:26">
      <c r="A246" s="62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1"/>
    </row>
    <row r="247" spans="1:26">
      <c r="A247" s="62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1"/>
    </row>
    <row r="248" spans="1:26">
      <c r="A248" s="62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1"/>
    </row>
    <row r="249" spans="1:26">
      <c r="A249" s="62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1"/>
    </row>
    <row r="250" spans="1:26">
      <c r="A250" s="62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1"/>
    </row>
    <row r="251" spans="1:26">
      <c r="A251" s="62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1"/>
    </row>
    <row r="252" spans="1:26">
      <c r="A252" s="62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1"/>
    </row>
    <row r="253" spans="1:26">
      <c r="A253" s="62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1"/>
    </row>
    <row r="254" spans="1:26">
      <c r="A254" s="62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1"/>
    </row>
    <row r="255" spans="1:26">
      <c r="A255" s="62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1"/>
    </row>
    <row r="256" spans="1:26">
      <c r="A256" s="62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1"/>
    </row>
    <row r="257" spans="1:26">
      <c r="A257" s="62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1"/>
    </row>
    <row r="258" spans="1:26">
      <c r="A258" s="62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1"/>
    </row>
    <row r="259" spans="1:26">
      <c r="A259" s="62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1"/>
    </row>
    <row r="260" spans="1:26">
      <c r="A260" s="62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1"/>
    </row>
    <row r="261" spans="1:26">
      <c r="A261" s="62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1"/>
    </row>
    <row r="262" spans="1:26">
      <c r="A262" s="62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1"/>
    </row>
    <row r="263" spans="1:26">
      <c r="A263" s="62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1"/>
    </row>
    <row r="264" spans="1:26">
      <c r="A264" s="62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1"/>
    </row>
    <row r="265" spans="1:26">
      <c r="A265" s="62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1"/>
    </row>
    <row r="266" spans="1:26">
      <c r="A266" s="62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1"/>
    </row>
    <row r="267" spans="1:26">
      <c r="A267" s="62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1"/>
    </row>
    <row r="268" spans="1:26">
      <c r="A268" s="62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1"/>
    </row>
    <row r="269" spans="1:26">
      <c r="A269" s="62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1"/>
    </row>
    <row r="270" spans="1:26">
      <c r="A270" s="62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1"/>
    </row>
    <row r="271" spans="1:26">
      <c r="A271" s="62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1"/>
    </row>
    <row r="272" spans="1:26">
      <c r="A272" s="62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1"/>
    </row>
    <row r="273" spans="1:26">
      <c r="A273" s="62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1"/>
    </row>
    <row r="274" spans="1:26">
      <c r="A274" s="62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1"/>
    </row>
    <row r="275" spans="1:26">
      <c r="A275" s="62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1"/>
    </row>
    <row r="276" spans="1:26">
      <c r="A276" s="62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1"/>
    </row>
    <row r="277" spans="1:26">
      <c r="A277" s="62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1"/>
    </row>
    <row r="278" spans="1:26">
      <c r="A278" s="62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1"/>
    </row>
    <row r="279" spans="1:26">
      <c r="A279" s="62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1"/>
    </row>
    <row r="280" spans="1:26">
      <c r="A280" s="62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1"/>
    </row>
    <row r="281" spans="1:26">
      <c r="A281" s="62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1"/>
    </row>
    <row r="282" spans="1:26">
      <c r="A282" s="62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1"/>
    </row>
    <row r="283" spans="1:26">
      <c r="A283" s="62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1"/>
    </row>
    <row r="284" spans="1:26">
      <c r="A284" s="62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1"/>
    </row>
    <row r="285" spans="1:26">
      <c r="A285" s="62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1"/>
    </row>
    <row r="286" spans="1:26">
      <c r="A286" s="62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1"/>
    </row>
    <row r="287" spans="1:26">
      <c r="A287" s="62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1"/>
    </row>
    <row r="288" spans="1:26">
      <c r="A288" s="62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1"/>
    </row>
    <row r="289" spans="1:26">
      <c r="A289" s="62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1"/>
    </row>
    <row r="290" spans="1:26">
      <c r="A290" s="62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1"/>
    </row>
    <row r="291" spans="1:26">
      <c r="A291" s="62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1"/>
    </row>
    <row r="292" spans="1:26">
      <c r="A292" s="62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1"/>
    </row>
    <row r="293" spans="1:26">
      <c r="A293" s="62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1"/>
    </row>
    <row r="294" spans="1:26">
      <c r="A294" s="62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1"/>
    </row>
    <row r="295" spans="1:26">
      <c r="A295" s="62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1"/>
    </row>
    <row r="296" spans="1:26">
      <c r="A296" s="62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1"/>
    </row>
    <row r="297" spans="1:26">
      <c r="A297" s="62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1"/>
    </row>
    <row r="298" spans="1:26">
      <c r="A298" s="62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1"/>
    </row>
    <row r="299" spans="1:26">
      <c r="A299" s="62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1"/>
    </row>
    <row r="300" spans="1:26">
      <c r="A300" s="62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1"/>
    </row>
    <row r="301" spans="1:26">
      <c r="A301" s="62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1"/>
    </row>
    <row r="302" spans="1:26">
      <c r="A302" s="62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1"/>
    </row>
    <row r="303" spans="1:26">
      <c r="A303" s="62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1"/>
    </row>
    <row r="304" spans="1:26">
      <c r="A304" s="62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1"/>
    </row>
    <row r="305" spans="1:26">
      <c r="A305" s="62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1"/>
    </row>
    <row r="306" spans="1:26">
      <c r="A306" s="62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1"/>
    </row>
    <row r="307" spans="1:26">
      <c r="A307" s="62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1"/>
    </row>
    <row r="308" spans="1:26">
      <c r="A308" s="62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1"/>
    </row>
    <row r="309" spans="1:26">
      <c r="A309" s="62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1"/>
    </row>
    <row r="310" spans="1:26">
      <c r="A310" s="62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1"/>
    </row>
    <row r="311" spans="1:26">
      <c r="A311" s="62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1"/>
    </row>
    <row r="312" spans="1:26">
      <c r="A312" s="62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1"/>
    </row>
    <row r="313" spans="1:26">
      <c r="A313" s="62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1"/>
    </row>
    <row r="314" spans="1:26">
      <c r="A314" s="62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1"/>
    </row>
    <row r="315" spans="1:26">
      <c r="A315" s="62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1"/>
    </row>
    <row r="316" spans="1:26">
      <c r="A316" s="62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1"/>
    </row>
    <row r="317" spans="1:26">
      <c r="A317" s="62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1"/>
    </row>
    <row r="318" spans="1:26">
      <c r="A318" s="62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1"/>
    </row>
    <row r="319" spans="1:26">
      <c r="A319" s="62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1"/>
    </row>
    <row r="320" spans="1:26">
      <c r="A320" s="62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1"/>
    </row>
    <row r="321" spans="1:26">
      <c r="A321" s="62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1"/>
    </row>
    <row r="322" spans="1:26">
      <c r="A322" s="62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1"/>
    </row>
    <row r="323" spans="1:26">
      <c r="A323" s="62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1"/>
    </row>
    <row r="324" spans="1:26">
      <c r="A324" s="62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1"/>
    </row>
    <row r="325" spans="1:26">
      <c r="A325" s="62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1"/>
    </row>
    <row r="326" spans="1:26">
      <c r="A326" s="62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1"/>
    </row>
    <row r="327" spans="1:26">
      <c r="A327" s="62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1"/>
    </row>
    <row r="328" spans="1:26">
      <c r="A328" s="62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1"/>
    </row>
    <row r="329" spans="1:26">
      <c r="A329" s="62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1"/>
    </row>
    <row r="330" spans="1:26">
      <c r="A330" s="62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1"/>
    </row>
    <row r="331" spans="1:26">
      <c r="A331" s="62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1"/>
    </row>
    <row r="332" spans="1:26">
      <c r="A332" s="62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1"/>
    </row>
    <row r="333" spans="1:26">
      <c r="A333" s="62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1"/>
    </row>
    <row r="334" spans="1:26">
      <c r="A334" s="62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1"/>
    </row>
    <row r="335" spans="1:26">
      <c r="A335" s="62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1"/>
    </row>
    <row r="336" spans="1:26">
      <c r="A336" s="62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1"/>
    </row>
    <row r="337" spans="1:26">
      <c r="A337" s="62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1"/>
    </row>
    <row r="338" spans="1:26">
      <c r="A338" s="62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1"/>
    </row>
    <row r="339" spans="1:26">
      <c r="A339" s="62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1"/>
    </row>
    <row r="340" spans="1:26">
      <c r="A340" s="62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1"/>
    </row>
    <row r="341" spans="1:26">
      <c r="A341" s="62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1"/>
    </row>
    <row r="342" spans="1:26">
      <c r="A342" s="62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1"/>
    </row>
    <row r="343" spans="1:26">
      <c r="A343" s="62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1"/>
    </row>
    <row r="344" spans="1:26">
      <c r="A344" s="62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1"/>
    </row>
    <row r="345" spans="1:26">
      <c r="A345" s="62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1"/>
    </row>
    <row r="346" spans="1:26">
      <c r="A346" s="62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1"/>
    </row>
    <row r="347" spans="1:26">
      <c r="A347" s="62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1"/>
    </row>
    <row r="348" spans="1:26">
      <c r="A348" s="62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1"/>
    </row>
    <row r="349" spans="1:26">
      <c r="A349" s="62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1"/>
    </row>
    <row r="350" spans="1:26">
      <c r="A350" s="62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1"/>
    </row>
    <row r="351" spans="1:26">
      <c r="A351" s="62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1"/>
    </row>
    <row r="352" spans="1:26">
      <c r="A352" s="62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1"/>
    </row>
    <row r="353" spans="1:26">
      <c r="A353" s="62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1"/>
    </row>
    <row r="354" spans="1:26">
      <c r="A354" s="62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1"/>
    </row>
    <row r="355" spans="1:26">
      <c r="A355" s="62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1"/>
    </row>
    <row r="356" spans="1:26">
      <c r="A356" s="62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1"/>
    </row>
    <row r="357" spans="1:26">
      <c r="A357" s="62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1"/>
    </row>
    <row r="358" spans="1:26">
      <c r="A358" s="62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1"/>
    </row>
    <row r="359" spans="1:26">
      <c r="A359" s="62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1"/>
    </row>
    <row r="360" spans="1:26">
      <c r="A360" s="62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1"/>
    </row>
    <row r="361" spans="1:26">
      <c r="A361" s="62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1"/>
    </row>
    <row r="362" spans="1:26">
      <c r="A362" s="62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1"/>
    </row>
    <row r="363" spans="1:26">
      <c r="A363" s="62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1"/>
    </row>
    <row r="364" spans="1:26">
      <c r="A364" s="62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1"/>
    </row>
    <row r="365" spans="1:26">
      <c r="A365" s="62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1"/>
    </row>
    <row r="366" spans="1:26">
      <c r="A366" s="62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1"/>
    </row>
    <row r="367" spans="1:26">
      <c r="A367" s="62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1"/>
    </row>
    <row r="368" spans="1:26">
      <c r="A368" s="62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1"/>
    </row>
    <row r="369" spans="1:26">
      <c r="A369" s="62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1"/>
    </row>
    <row r="370" spans="1:26">
      <c r="A370" s="62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1"/>
    </row>
    <row r="371" spans="1:26">
      <c r="A371" s="62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1"/>
    </row>
    <row r="372" spans="1:26">
      <c r="A372" s="62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1"/>
    </row>
    <row r="373" spans="1:26">
      <c r="A373" s="62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1"/>
    </row>
    <row r="374" spans="1:26">
      <c r="A374" s="62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1"/>
    </row>
    <row r="375" spans="1:26">
      <c r="A375" s="62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1"/>
    </row>
    <row r="376" spans="1:26">
      <c r="A376" s="62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1"/>
    </row>
    <row r="377" spans="1:26">
      <c r="A377" s="62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1"/>
    </row>
    <row r="378" spans="1:26">
      <c r="A378" s="62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1"/>
    </row>
    <row r="379" spans="1:26">
      <c r="A379" s="62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1"/>
    </row>
    <row r="380" spans="1:26">
      <c r="A380" s="62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1"/>
    </row>
    <row r="381" spans="1:26">
      <c r="A381" s="62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1"/>
    </row>
    <row r="382" spans="1:26">
      <c r="A382" s="62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1"/>
    </row>
    <row r="383" spans="1:26">
      <c r="A383" s="62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1"/>
    </row>
    <row r="384" spans="1:26">
      <c r="A384" s="62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1"/>
    </row>
    <row r="385" spans="1:26">
      <c r="A385" s="62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1"/>
    </row>
    <row r="386" spans="1:26">
      <c r="A386" s="62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1"/>
    </row>
    <row r="387" spans="1:26">
      <c r="A387" s="62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1"/>
    </row>
    <row r="388" spans="1:26">
      <c r="A388" s="62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1"/>
    </row>
    <row r="389" spans="1:26">
      <c r="A389" s="62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1"/>
    </row>
    <row r="390" spans="1:26">
      <c r="A390" s="62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1"/>
    </row>
    <row r="391" spans="1:26">
      <c r="A391" s="62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1"/>
    </row>
    <row r="392" spans="1:26">
      <c r="A392" s="62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1"/>
    </row>
    <row r="393" spans="1:26">
      <c r="A393" s="62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1"/>
    </row>
    <row r="394" spans="1:26">
      <c r="A394" s="62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1"/>
    </row>
    <row r="395" spans="1:26">
      <c r="A395" s="62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1"/>
    </row>
    <row r="396" spans="1:26">
      <c r="A396" s="62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1"/>
    </row>
    <row r="397" spans="1:26">
      <c r="A397" s="62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1"/>
    </row>
    <row r="398" spans="1:26">
      <c r="A398" s="62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1"/>
    </row>
    <row r="399" spans="1:26">
      <c r="A399" s="62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1"/>
    </row>
    <row r="400" spans="1:26">
      <c r="A400" s="62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1"/>
    </row>
    <row r="401" spans="1:26">
      <c r="A401" s="62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1"/>
    </row>
    <row r="402" spans="1:26">
      <c r="A402" s="62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1"/>
    </row>
    <row r="403" spans="1:26">
      <c r="A403" s="62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1"/>
    </row>
    <row r="404" spans="1:26">
      <c r="A404" s="62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1"/>
    </row>
    <row r="405" spans="1:26">
      <c r="A405" s="62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1"/>
    </row>
    <row r="406" spans="1:26">
      <c r="A406" s="62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1"/>
    </row>
    <row r="407" spans="1:26">
      <c r="A407" s="62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1"/>
    </row>
    <row r="408" spans="1:26">
      <c r="A408" s="62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1"/>
    </row>
    <row r="409" spans="1:26">
      <c r="A409" s="62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1"/>
    </row>
    <row r="410" spans="1:26">
      <c r="A410" s="62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1"/>
    </row>
    <row r="411" spans="1:26">
      <c r="A411" s="62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1"/>
    </row>
    <row r="412" spans="1:26">
      <c r="A412" s="62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1"/>
    </row>
    <row r="413" spans="1:26">
      <c r="A413" s="62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1"/>
    </row>
    <row r="414" spans="1:26">
      <c r="A414" s="62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1"/>
    </row>
    <row r="415" spans="1:26">
      <c r="A415" s="62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1"/>
    </row>
    <row r="416" spans="1:26">
      <c r="A416" s="62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1"/>
    </row>
    <row r="417" spans="1:26">
      <c r="A417" s="62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1"/>
    </row>
    <row r="418" spans="1:26">
      <c r="A418" s="62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1"/>
    </row>
    <row r="419" spans="1:26">
      <c r="A419" s="62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1"/>
    </row>
    <row r="420" spans="1:26">
      <c r="A420" s="62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1"/>
    </row>
    <row r="421" spans="1:26">
      <c r="A421" s="62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1"/>
    </row>
    <row r="422" spans="1:26">
      <c r="A422" s="62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1"/>
    </row>
    <row r="423" spans="1:26">
      <c r="A423" s="62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1"/>
    </row>
    <row r="424" spans="1:26">
      <c r="A424" s="62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1"/>
    </row>
    <row r="425" spans="1:26">
      <c r="A425" s="62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1"/>
    </row>
    <row r="426" spans="1:26">
      <c r="A426" s="62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1"/>
    </row>
    <row r="427" spans="1:26">
      <c r="A427" s="62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1"/>
    </row>
    <row r="428" spans="1:26">
      <c r="A428" s="62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1"/>
    </row>
    <row r="429" spans="1:26">
      <c r="A429" s="62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1"/>
    </row>
    <row r="430" spans="1:26">
      <c r="A430" s="62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1"/>
    </row>
    <row r="431" spans="1:26">
      <c r="A431" s="62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1"/>
    </row>
    <row r="432" spans="1:26">
      <c r="A432" s="62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1"/>
    </row>
    <row r="433" spans="1:26">
      <c r="A433" s="62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1"/>
    </row>
    <row r="434" spans="1:26">
      <c r="A434" s="62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1"/>
    </row>
    <row r="435" spans="1:26">
      <c r="A435" s="62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1"/>
    </row>
    <row r="436" spans="1:26">
      <c r="A436" s="62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1"/>
    </row>
    <row r="437" spans="1:26">
      <c r="A437" s="62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1"/>
    </row>
    <row r="438" spans="1:26">
      <c r="A438" s="62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1"/>
    </row>
    <row r="439" spans="1:26">
      <c r="A439" s="62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1"/>
    </row>
    <row r="440" spans="1:26">
      <c r="A440" s="62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1"/>
    </row>
    <row r="441" spans="1:26">
      <c r="A441" s="62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1"/>
    </row>
    <row r="442" spans="1:26">
      <c r="A442" s="62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1"/>
    </row>
    <row r="443" spans="1:26">
      <c r="A443" s="62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1"/>
    </row>
    <row r="444" spans="1:26">
      <c r="A444" s="62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1"/>
    </row>
    <row r="445" spans="1:26">
      <c r="A445" s="62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1"/>
    </row>
    <row r="446" spans="1:26">
      <c r="A446" s="62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1"/>
    </row>
    <row r="447" spans="1:26">
      <c r="A447" s="62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1"/>
    </row>
    <row r="448" spans="1:26">
      <c r="A448" s="62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1"/>
    </row>
    <row r="449" spans="1:26">
      <c r="A449" s="62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1"/>
    </row>
    <row r="450" spans="1:26">
      <c r="A450" s="62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1"/>
    </row>
    <row r="451" spans="1:26">
      <c r="A451" s="62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1"/>
    </row>
    <row r="452" spans="1:26">
      <c r="A452" s="62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1"/>
    </row>
    <row r="453" spans="1:26">
      <c r="A453" s="62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1"/>
    </row>
    <row r="454" spans="1:26">
      <c r="A454" s="62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1"/>
    </row>
    <row r="455" spans="1:26">
      <c r="A455" s="62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1"/>
    </row>
    <row r="456" spans="1:26">
      <c r="A456" s="62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1"/>
    </row>
    <row r="457" spans="1:26">
      <c r="A457" s="62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1"/>
    </row>
    <row r="458" spans="1:26">
      <c r="A458" s="62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1"/>
    </row>
    <row r="459" spans="1:26">
      <c r="A459" s="62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1"/>
    </row>
    <row r="460" spans="1:26">
      <c r="A460" s="62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1"/>
    </row>
    <row r="461" spans="1:26">
      <c r="A461" s="62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1"/>
    </row>
    <row r="462" spans="1:26">
      <c r="A462" s="62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1"/>
    </row>
    <row r="463" spans="1:26">
      <c r="A463" s="62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1"/>
    </row>
    <row r="464" spans="1:26">
      <c r="A464" s="62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1"/>
    </row>
    <row r="465" spans="1:26">
      <c r="A465" s="62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1"/>
    </row>
    <row r="466" spans="1:26">
      <c r="A466" s="62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1"/>
    </row>
    <row r="467" spans="1:26">
      <c r="A467" s="62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1"/>
    </row>
    <row r="468" spans="1:26">
      <c r="A468" s="62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1"/>
    </row>
    <row r="469" spans="1:26">
      <c r="A469" s="62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1"/>
    </row>
    <row r="470" spans="1:26">
      <c r="A470" s="62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1"/>
    </row>
    <row r="471" spans="1:26">
      <c r="A471" s="62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1"/>
    </row>
    <row r="472" spans="1:26">
      <c r="A472" s="62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1"/>
    </row>
    <row r="473" spans="1:26">
      <c r="A473" s="62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1"/>
    </row>
    <row r="474" spans="1:26">
      <c r="A474" s="62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1"/>
    </row>
    <row r="475" spans="1:26">
      <c r="A475" s="62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1"/>
    </row>
    <row r="476" spans="1:26">
      <c r="A476" s="62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1"/>
    </row>
    <row r="477" spans="1:26">
      <c r="A477" s="62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1"/>
    </row>
    <row r="478" spans="1:26">
      <c r="A478" s="62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1"/>
    </row>
    <row r="479" spans="1:26">
      <c r="A479" s="62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1"/>
    </row>
    <row r="480" spans="1:26">
      <c r="A480" s="62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1"/>
    </row>
    <row r="481" spans="1:26">
      <c r="A481" s="62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1"/>
    </row>
    <row r="482" spans="1:26">
      <c r="A482" s="62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1"/>
    </row>
    <row r="483" spans="1:26">
      <c r="A483" s="62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1"/>
    </row>
    <row r="484" spans="1:26">
      <c r="A484" s="62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1"/>
    </row>
    <row r="485" spans="1:26">
      <c r="A485" s="62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1"/>
    </row>
    <row r="486" spans="1:26">
      <c r="A486" s="62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1"/>
    </row>
    <row r="487" spans="1:26">
      <c r="A487" s="62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1"/>
    </row>
    <row r="488" spans="1:26">
      <c r="A488" s="62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1"/>
    </row>
    <row r="489" spans="1:26">
      <c r="A489" s="62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1"/>
    </row>
    <row r="490" spans="1:26">
      <c r="A490" s="62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1"/>
    </row>
    <row r="491" spans="1:26">
      <c r="A491" s="62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1"/>
    </row>
    <row r="492" spans="1:26">
      <c r="A492" s="62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1"/>
    </row>
    <row r="493" spans="1:26">
      <c r="A493" s="62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1"/>
    </row>
    <row r="494" spans="1:26">
      <c r="A494" s="62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1"/>
    </row>
    <row r="495" spans="1:26">
      <c r="A495" s="62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1"/>
    </row>
    <row r="496" spans="1:26">
      <c r="A496" s="62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1"/>
    </row>
    <row r="497" spans="1:26">
      <c r="A497" s="62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1"/>
    </row>
    <row r="498" spans="1:26">
      <c r="A498" s="62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1"/>
    </row>
    <row r="499" spans="1:26">
      <c r="A499" s="62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1"/>
    </row>
    <row r="500" spans="1:26">
      <c r="A500" s="62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1"/>
    </row>
    <row r="501" spans="1:26">
      <c r="A501" s="62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1"/>
    </row>
    <row r="502" spans="1:26">
      <c r="A502" s="62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1"/>
    </row>
    <row r="503" spans="1:26">
      <c r="A503" s="62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1"/>
    </row>
    <row r="504" spans="1:26">
      <c r="A504" s="62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1"/>
    </row>
    <row r="505" spans="1:26">
      <c r="A505" s="62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1"/>
    </row>
    <row r="506" spans="1:26">
      <c r="A506" s="62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1"/>
    </row>
    <row r="507" spans="1:26">
      <c r="A507" s="62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1"/>
    </row>
    <row r="508" spans="1:26">
      <c r="A508" s="62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1"/>
    </row>
    <row r="509" spans="1:26">
      <c r="A509" s="62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1"/>
    </row>
    <row r="510" spans="1:26">
      <c r="A510" s="62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1"/>
    </row>
    <row r="511" spans="1:26">
      <c r="A511" s="62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1"/>
    </row>
    <row r="512" spans="1:26">
      <c r="A512" s="62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1"/>
    </row>
    <row r="513" spans="1:26">
      <c r="A513" s="62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1"/>
    </row>
    <row r="514" spans="1:26">
      <c r="A514" s="62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1"/>
    </row>
    <row r="515" spans="1:26">
      <c r="A515" s="62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1"/>
    </row>
    <row r="516" spans="1:26">
      <c r="A516" s="62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1"/>
    </row>
    <row r="517" spans="1:26">
      <c r="A517" s="62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1"/>
    </row>
    <row r="518" spans="1:26">
      <c r="A518" s="62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1"/>
    </row>
    <row r="519" spans="1:26">
      <c r="A519" s="62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1"/>
    </row>
    <row r="520" spans="1:26">
      <c r="A520" s="62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1"/>
    </row>
    <row r="521" spans="1:26">
      <c r="A521" s="62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1"/>
    </row>
    <row r="522" spans="1:26">
      <c r="A522" s="62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1"/>
    </row>
    <row r="523" spans="1:26">
      <c r="A523" s="62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1"/>
    </row>
    <row r="524" spans="1:26">
      <c r="A524" s="62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1"/>
    </row>
    <row r="525" spans="1:26">
      <c r="A525" s="62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1"/>
    </row>
    <row r="526" spans="1:26">
      <c r="A526" s="62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1"/>
    </row>
    <row r="527" spans="1:26">
      <c r="A527" s="62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1"/>
    </row>
    <row r="528" spans="1:26">
      <c r="A528" s="62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1"/>
    </row>
    <row r="529" spans="1:26">
      <c r="A529" s="62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1"/>
    </row>
    <row r="530" spans="1:26">
      <c r="A530" s="62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1"/>
    </row>
    <row r="531" spans="1:26">
      <c r="A531" s="62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1"/>
    </row>
    <row r="532" spans="1:26">
      <c r="A532" s="62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1"/>
    </row>
    <row r="533" spans="1:26">
      <c r="A533" s="62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1"/>
    </row>
    <row r="534" spans="1:26">
      <c r="A534" s="62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1"/>
    </row>
    <row r="535" spans="1:26">
      <c r="A535" s="62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1"/>
    </row>
    <row r="536" spans="1:26">
      <c r="A536" s="62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1"/>
    </row>
    <row r="537" spans="1:26">
      <c r="A537" s="62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1"/>
    </row>
    <row r="538" spans="1:26">
      <c r="A538" s="62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1"/>
    </row>
    <row r="539" spans="1:26">
      <c r="A539" s="62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1"/>
    </row>
    <row r="540" spans="1:26">
      <c r="A540" s="62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1"/>
    </row>
    <row r="541" spans="1:26">
      <c r="A541" s="62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1"/>
    </row>
    <row r="542" spans="1:26">
      <c r="A542" s="62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1"/>
    </row>
    <row r="543" spans="1:26">
      <c r="A543" s="62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1"/>
    </row>
    <row r="544" spans="1:26">
      <c r="A544" s="62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1"/>
    </row>
    <row r="545" spans="1:26">
      <c r="A545" s="62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1"/>
    </row>
    <row r="546" spans="1:26">
      <c r="A546" s="62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1"/>
    </row>
    <row r="547" spans="1:26">
      <c r="A547" s="62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1"/>
    </row>
    <row r="548" spans="1:26">
      <c r="A548" s="62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1"/>
    </row>
    <row r="549" spans="1:26">
      <c r="A549" s="62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1"/>
    </row>
    <row r="550" spans="1:26">
      <c r="A550" s="62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1"/>
    </row>
    <row r="551" spans="1:26">
      <c r="A551" s="62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1"/>
    </row>
    <row r="552" spans="1:26">
      <c r="A552" s="62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1"/>
    </row>
    <row r="553" spans="1:26">
      <c r="A553" s="62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1"/>
    </row>
    <row r="554" spans="1:26">
      <c r="A554" s="62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1"/>
    </row>
    <row r="555" spans="1:26">
      <c r="A555" s="62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1"/>
    </row>
    <row r="556" spans="1:26">
      <c r="A556" s="62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1"/>
    </row>
    <row r="557" spans="1:26">
      <c r="A557" s="62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1"/>
    </row>
    <row r="558" spans="1:26">
      <c r="A558" s="62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1"/>
    </row>
    <row r="559" spans="1:26">
      <c r="A559" s="62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1"/>
    </row>
    <row r="560" spans="1:26">
      <c r="A560" s="62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1"/>
    </row>
    <row r="561" spans="1:26">
      <c r="A561" s="62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1"/>
    </row>
    <row r="562" spans="1:26">
      <c r="A562" s="62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1"/>
    </row>
    <row r="563" spans="1:26">
      <c r="A563" s="62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1"/>
    </row>
    <row r="564" spans="1:26">
      <c r="A564" s="62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1"/>
    </row>
    <row r="565" spans="1:26">
      <c r="A565" s="62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1"/>
    </row>
    <row r="566" spans="1:26">
      <c r="A566" s="62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1"/>
    </row>
    <row r="567" spans="1:26">
      <c r="A567" s="62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1"/>
    </row>
    <row r="568" spans="1:26">
      <c r="A568" s="62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1"/>
    </row>
    <row r="569" spans="1:26">
      <c r="A569" s="62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1"/>
    </row>
    <row r="570" spans="1:26">
      <c r="A570" s="62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1"/>
    </row>
    <row r="571" spans="1:26">
      <c r="A571" s="62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1"/>
    </row>
    <row r="572" spans="1:26">
      <c r="A572" s="62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1"/>
    </row>
    <row r="573" spans="1:26">
      <c r="A573" s="62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1"/>
    </row>
    <row r="574" spans="1:26">
      <c r="A574" s="62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1"/>
    </row>
    <row r="575" spans="1:26">
      <c r="A575" s="62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1"/>
    </row>
    <row r="576" spans="1:26">
      <c r="A576" s="62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1"/>
    </row>
    <row r="577" spans="1:26">
      <c r="A577" s="62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1"/>
    </row>
    <row r="578" spans="1:26">
      <c r="A578" s="62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1"/>
    </row>
    <row r="579" spans="1:26">
      <c r="A579" s="62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1"/>
    </row>
    <row r="580" spans="1:26">
      <c r="A580" s="62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1"/>
    </row>
    <row r="581" spans="1:26">
      <c r="A581" s="62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1"/>
    </row>
    <row r="582" spans="1:26">
      <c r="A582" s="62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1"/>
    </row>
    <row r="583" spans="1:26">
      <c r="A583" s="62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1"/>
    </row>
    <row r="584" spans="1:26">
      <c r="A584" s="62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1"/>
    </row>
    <row r="585" spans="1:26">
      <c r="A585" s="62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1"/>
    </row>
    <row r="586" spans="1:26">
      <c r="A586" s="62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1"/>
    </row>
    <row r="587" spans="1:26">
      <c r="A587" s="62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1"/>
    </row>
    <row r="588" spans="1:26">
      <c r="A588" s="62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1"/>
    </row>
    <row r="589" spans="1:26">
      <c r="A589" s="62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1"/>
    </row>
    <row r="590" spans="1:26">
      <c r="A590" s="62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1"/>
    </row>
    <row r="591" spans="1:26">
      <c r="A591" s="62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1"/>
    </row>
    <row r="592" spans="1:26">
      <c r="A592" s="62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1"/>
    </row>
    <row r="593" spans="1:26">
      <c r="A593" s="62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1"/>
    </row>
    <row r="594" spans="1:26">
      <c r="A594" s="62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1"/>
    </row>
    <row r="595" spans="1:26">
      <c r="A595" s="62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1"/>
    </row>
    <row r="596" spans="1:26">
      <c r="A596" s="62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1"/>
    </row>
    <row r="597" spans="1:26">
      <c r="A597" s="62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1"/>
    </row>
    <row r="598" spans="1:26">
      <c r="A598" s="62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1"/>
    </row>
    <row r="599" spans="1:26">
      <c r="A599" s="62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1"/>
    </row>
    <row r="600" spans="1:26">
      <c r="A600" s="62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1"/>
    </row>
    <row r="601" spans="1:26">
      <c r="A601" s="62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1"/>
    </row>
    <row r="602" spans="1:26">
      <c r="A602" s="62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1"/>
    </row>
    <row r="603" spans="1:26">
      <c r="A603" s="62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1"/>
    </row>
    <row r="604" spans="1:26">
      <c r="A604" s="62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1"/>
    </row>
    <row r="605" spans="1:26">
      <c r="A605" s="62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1"/>
    </row>
    <row r="606" spans="1:26">
      <c r="A606" s="62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1"/>
    </row>
    <row r="607" spans="1:26">
      <c r="A607" s="62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1"/>
    </row>
    <row r="608" spans="1:26">
      <c r="A608" s="62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1"/>
    </row>
    <row r="609" spans="1:26">
      <c r="A609" s="62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1"/>
    </row>
    <row r="610" spans="1:26">
      <c r="A610" s="62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1"/>
    </row>
    <row r="611" spans="1:26">
      <c r="A611" s="62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1"/>
    </row>
    <row r="612" spans="1:26">
      <c r="A612" s="62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1"/>
    </row>
    <row r="613" spans="1:26">
      <c r="A613" s="62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1"/>
    </row>
    <row r="614" spans="1:26">
      <c r="A614" s="62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1"/>
    </row>
    <row r="615" spans="1:26">
      <c r="A615" s="62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1"/>
    </row>
    <row r="616" spans="1:26">
      <c r="A616" s="62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1"/>
    </row>
    <row r="617" spans="1:26">
      <c r="A617" s="62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1"/>
    </row>
    <row r="618" spans="1:26">
      <c r="A618" s="62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1"/>
    </row>
    <row r="619" spans="1:26">
      <c r="A619" s="62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1"/>
    </row>
    <row r="620" spans="1:26">
      <c r="A620" s="62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1"/>
    </row>
    <row r="621" spans="1:26">
      <c r="A621" s="62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1"/>
    </row>
    <row r="622" spans="1:26">
      <c r="A622" s="62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1"/>
    </row>
    <row r="623" spans="1:26">
      <c r="A623" s="62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1"/>
    </row>
    <row r="624" spans="1:26">
      <c r="A624" s="62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1"/>
    </row>
    <row r="625" spans="1:26">
      <c r="A625" s="62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1"/>
    </row>
    <row r="626" spans="1:26">
      <c r="A626" s="62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1"/>
    </row>
    <row r="627" spans="1:26">
      <c r="A627" s="62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1"/>
    </row>
    <row r="628" spans="1:26">
      <c r="A628" s="62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1"/>
    </row>
    <row r="629" spans="1:26">
      <c r="A629" s="62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1"/>
    </row>
    <row r="630" spans="1:26">
      <c r="A630" s="62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1"/>
    </row>
    <row r="631" spans="1:26">
      <c r="A631" s="62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1"/>
    </row>
    <row r="632" spans="1:26">
      <c r="A632" s="62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1"/>
    </row>
    <row r="633" spans="1:26">
      <c r="A633" s="62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1"/>
    </row>
    <row r="634" spans="1:26">
      <c r="A634" s="62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1"/>
    </row>
    <row r="635" spans="1:26">
      <c r="A635" s="62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1"/>
    </row>
    <row r="636" spans="1:26">
      <c r="A636" s="62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1"/>
    </row>
    <row r="637" spans="1:26">
      <c r="A637" s="62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1"/>
    </row>
    <row r="638" spans="1:26">
      <c r="A638" s="62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1"/>
    </row>
    <row r="639" spans="1:26">
      <c r="A639" s="62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1"/>
    </row>
    <row r="640" spans="1:26">
      <c r="A640" s="62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1"/>
    </row>
    <row r="641" spans="1:26">
      <c r="A641" s="62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1"/>
    </row>
    <row r="642" spans="1:26">
      <c r="A642" s="62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1"/>
    </row>
    <row r="643" spans="1:26">
      <c r="A643" s="62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1"/>
    </row>
    <row r="644" spans="1:26">
      <c r="A644" s="62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1"/>
    </row>
    <row r="645" spans="1:26">
      <c r="A645" s="62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1"/>
    </row>
    <row r="646" spans="1:26">
      <c r="A646" s="62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1"/>
    </row>
    <row r="647" spans="1:26">
      <c r="A647" s="62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1"/>
    </row>
    <row r="648" spans="1:26">
      <c r="A648" s="62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1"/>
    </row>
    <row r="649" spans="1:26">
      <c r="A649" s="62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1"/>
    </row>
    <row r="650" spans="1:26">
      <c r="A650" s="62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1"/>
    </row>
    <row r="651" spans="1:26">
      <c r="A651" s="62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1"/>
    </row>
    <row r="652" spans="1:26">
      <c r="A652" s="62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1"/>
    </row>
    <row r="653" spans="1:26">
      <c r="A653" s="62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1"/>
    </row>
    <row r="654" spans="1:26">
      <c r="A654" s="62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1"/>
    </row>
    <row r="655" spans="1:26">
      <c r="A655" s="62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1"/>
    </row>
    <row r="656" spans="1:26">
      <c r="A656" s="62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1"/>
    </row>
    <row r="657" spans="1:26">
      <c r="A657" s="62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1"/>
    </row>
    <row r="658" spans="1:26">
      <c r="A658" s="62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1"/>
    </row>
    <row r="659" spans="1:26">
      <c r="A659" s="62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1"/>
    </row>
    <row r="660" spans="1:26">
      <c r="A660" s="62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1"/>
    </row>
    <row r="661" spans="1:26">
      <c r="A661" s="62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1"/>
    </row>
    <row r="662" spans="1:26">
      <c r="A662" s="62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1"/>
    </row>
    <row r="663" spans="1:26">
      <c r="A663" s="62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1"/>
    </row>
    <row r="664" spans="1:26">
      <c r="A664" s="62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1"/>
    </row>
    <row r="665" spans="1:26">
      <c r="A665" s="62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1"/>
    </row>
    <row r="666" spans="1:26">
      <c r="A666" s="62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1"/>
    </row>
    <row r="667" spans="1:26">
      <c r="A667" s="62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1"/>
    </row>
    <row r="668" spans="1:26">
      <c r="A668" s="62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1"/>
    </row>
    <row r="669" spans="1:26">
      <c r="A669" s="62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1"/>
    </row>
    <row r="670" spans="1:26">
      <c r="A670" s="62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1"/>
    </row>
    <row r="671" spans="1:26">
      <c r="A671" s="62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1"/>
    </row>
    <row r="672" spans="1:26">
      <c r="A672" s="62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1"/>
    </row>
    <row r="673" spans="1:26">
      <c r="A673" s="62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1"/>
    </row>
    <row r="674" spans="1:26">
      <c r="A674" s="62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1"/>
    </row>
    <row r="675" spans="1:26">
      <c r="A675" s="62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1"/>
    </row>
    <row r="676" spans="1:26">
      <c r="A676" s="62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1"/>
    </row>
    <row r="677" spans="1:26">
      <c r="A677" s="62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1"/>
    </row>
    <row r="678" spans="1:26">
      <c r="A678" s="62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1"/>
    </row>
    <row r="679" spans="1:26">
      <c r="A679" s="62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1"/>
    </row>
    <row r="680" spans="1:26">
      <c r="A680" s="62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1"/>
    </row>
    <row r="681" spans="1:26">
      <c r="A681" s="62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1"/>
    </row>
    <row r="682" spans="1:26">
      <c r="A682" s="62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1"/>
    </row>
    <row r="683" spans="1:26">
      <c r="A683" s="62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1"/>
    </row>
    <row r="684" spans="1:26">
      <c r="A684" s="62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1"/>
    </row>
    <row r="685" spans="1:26">
      <c r="A685" s="62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1"/>
    </row>
    <row r="686" spans="1:26">
      <c r="A686" s="62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1"/>
    </row>
    <row r="687" spans="1:26">
      <c r="A687" s="62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1"/>
    </row>
    <row r="688" spans="1:26">
      <c r="A688" s="62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1"/>
    </row>
    <row r="689" spans="1:26">
      <c r="A689" s="62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1"/>
    </row>
    <row r="690" spans="1:26">
      <c r="A690" s="62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1"/>
    </row>
    <row r="691" spans="1:26">
      <c r="A691" s="62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1"/>
    </row>
    <row r="692" spans="1:26">
      <c r="A692" s="62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1"/>
    </row>
    <row r="693" spans="1:26">
      <c r="A693" s="62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1"/>
    </row>
    <row r="694" spans="1:26">
      <c r="A694" s="62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1"/>
    </row>
    <row r="695" spans="1:26">
      <c r="A695" s="62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1"/>
    </row>
    <row r="696" spans="1:26">
      <c r="A696" s="62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1"/>
    </row>
    <row r="697" spans="1:26">
      <c r="A697" s="62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1"/>
    </row>
    <row r="698" spans="1:26">
      <c r="A698" s="62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1"/>
    </row>
    <row r="699" spans="1:26">
      <c r="A699" s="62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1"/>
    </row>
    <row r="700" spans="1:26">
      <c r="A700" s="62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1"/>
    </row>
    <row r="701" spans="1:26">
      <c r="A701" s="62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1"/>
    </row>
    <row r="702" spans="1:26">
      <c r="A702" s="62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1"/>
    </row>
    <row r="703" spans="1:26">
      <c r="A703" s="62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1"/>
    </row>
    <row r="704" spans="1:26">
      <c r="A704" s="62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1"/>
    </row>
    <row r="705" spans="1:26">
      <c r="A705" s="62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1"/>
    </row>
    <row r="706" spans="1:26">
      <c r="A706" s="62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1"/>
    </row>
    <row r="707" spans="1:26">
      <c r="A707" s="62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1"/>
    </row>
    <row r="708" spans="1:26">
      <c r="A708" s="62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1"/>
    </row>
    <row r="709" spans="1:26">
      <c r="A709" s="62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1"/>
    </row>
    <row r="710" spans="1:26">
      <c r="A710" s="62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1"/>
    </row>
    <row r="711" spans="1:26">
      <c r="A711" s="62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1"/>
    </row>
    <row r="712" spans="1:26">
      <c r="A712" s="62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1"/>
    </row>
    <row r="713" spans="1:26">
      <c r="A713" s="62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1"/>
    </row>
    <row r="714" spans="1:26">
      <c r="A714" s="62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1"/>
    </row>
    <row r="715" spans="1:26">
      <c r="A715" s="62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1"/>
    </row>
    <row r="716" spans="1:26">
      <c r="A716" s="62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1"/>
    </row>
    <row r="717" spans="1:26">
      <c r="A717" s="62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1"/>
    </row>
    <row r="718" spans="1:26">
      <c r="A718" s="62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1"/>
    </row>
    <row r="719" spans="1:26">
      <c r="A719" s="62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1"/>
    </row>
    <row r="720" spans="1:26">
      <c r="A720" s="62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1"/>
    </row>
    <row r="721" spans="1:26">
      <c r="A721" s="62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1"/>
    </row>
    <row r="722" spans="1:26">
      <c r="A722" s="62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1"/>
    </row>
    <row r="723" spans="1:26">
      <c r="A723" s="62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1"/>
    </row>
    <row r="724" spans="1:26">
      <c r="A724" s="62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1"/>
    </row>
    <row r="725" spans="1:26">
      <c r="A725" s="62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1"/>
    </row>
    <row r="726" spans="1:26">
      <c r="A726" s="62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1"/>
    </row>
    <row r="727" spans="1:26">
      <c r="A727" s="62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1"/>
    </row>
    <row r="728" spans="1:26">
      <c r="A728" s="62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1"/>
    </row>
    <row r="729" spans="1:26">
      <c r="A729" s="62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1"/>
    </row>
    <row r="730" spans="1:26">
      <c r="A730" s="62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1"/>
    </row>
    <row r="731" spans="1:26">
      <c r="A731" s="62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1"/>
    </row>
    <row r="732" spans="1:26">
      <c r="A732" s="62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1"/>
    </row>
    <row r="733" spans="1:26">
      <c r="A733" s="62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1"/>
    </row>
    <row r="734" spans="1:26">
      <c r="A734" s="62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1"/>
    </row>
    <row r="735" spans="1:26">
      <c r="A735" s="62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1"/>
    </row>
    <row r="736" spans="1:26">
      <c r="A736" s="62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1"/>
    </row>
    <row r="737" spans="1:26">
      <c r="A737" s="62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1"/>
    </row>
    <row r="738" spans="1:26">
      <c r="A738" s="62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1"/>
    </row>
    <row r="739" spans="1:26">
      <c r="A739" s="62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1"/>
    </row>
    <row r="740" spans="1:26">
      <c r="A740" s="62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1"/>
    </row>
    <row r="741" spans="1:26">
      <c r="A741" s="62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1"/>
    </row>
    <row r="742" spans="1:26">
      <c r="A742" s="62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1"/>
    </row>
    <row r="743" spans="1:26">
      <c r="A743" s="62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1"/>
    </row>
    <row r="744" spans="1:26">
      <c r="A744" s="62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1"/>
    </row>
    <row r="745" spans="1:26">
      <c r="A745" s="62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1"/>
    </row>
    <row r="746" spans="1:26">
      <c r="A746" s="62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1"/>
    </row>
    <row r="747" spans="1:26">
      <c r="A747" s="62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1"/>
    </row>
    <row r="748" spans="1:26">
      <c r="A748" s="62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1"/>
    </row>
    <row r="749" spans="1:26">
      <c r="A749" s="62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1"/>
    </row>
    <row r="750" spans="1:26">
      <c r="A750" s="62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1"/>
    </row>
    <row r="751" spans="1:26">
      <c r="A751" s="62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1"/>
    </row>
    <row r="752" spans="1:26">
      <c r="A752" s="62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1"/>
    </row>
    <row r="753" spans="1:26">
      <c r="A753" s="62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1"/>
    </row>
    <row r="754" spans="1:26">
      <c r="A754" s="62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1"/>
    </row>
    <row r="755" spans="1:26">
      <c r="A755" s="62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1"/>
    </row>
    <row r="756" spans="1:26">
      <c r="A756" s="62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1"/>
    </row>
    <row r="757" spans="1:26">
      <c r="A757" s="62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1"/>
    </row>
    <row r="758" spans="1:26">
      <c r="A758" s="62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1"/>
    </row>
    <row r="759" spans="1:26">
      <c r="A759" s="62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1"/>
    </row>
    <row r="760" spans="1:26">
      <c r="A760" s="62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1"/>
    </row>
    <row r="761" spans="1:26">
      <c r="A761" s="62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1"/>
    </row>
    <row r="762" spans="1:26">
      <c r="A762" s="62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1"/>
    </row>
    <row r="763" spans="1:26">
      <c r="A763" s="62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1"/>
    </row>
    <row r="764" spans="1:26">
      <c r="A764" s="62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1"/>
    </row>
    <row r="765" spans="1:26">
      <c r="A765" s="62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1"/>
    </row>
    <row r="766" spans="1:26">
      <c r="A766" s="62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1"/>
    </row>
    <row r="767" spans="1:26">
      <c r="A767" s="62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1"/>
    </row>
    <row r="768" spans="1:26">
      <c r="A768" s="62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1"/>
    </row>
    <row r="769" spans="1:26">
      <c r="A769" s="62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1"/>
    </row>
    <row r="770" spans="1:26">
      <c r="A770" s="62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1"/>
    </row>
    <row r="771" spans="1:26">
      <c r="A771" s="62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1"/>
    </row>
    <row r="772" spans="1:26">
      <c r="A772" s="62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1"/>
    </row>
    <row r="773" spans="1:26">
      <c r="A773" s="62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1"/>
    </row>
    <row r="774" spans="1:26">
      <c r="A774" s="62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1"/>
    </row>
    <row r="775" spans="1:26">
      <c r="A775" s="62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1"/>
    </row>
    <row r="776" spans="1:26">
      <c r="A776" s="62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1"/>
    </row>
    <row r="777" spans="1:26">
      <c r="A777" s="62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1"/>
    </row>
    <row r="778" spans="1:26">
      <c r="A778" s="62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1"/>
    </row>
    <row r="779" spans="1:26">
      <c r="A779" s="62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1"/>
    </row>
    <row r="780" spans="1:26">
      <c r="A780" s="62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1"/>
    </row>
    <row r="781" spans="1:26">
      <c r="A781" s="62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1"/>
    </row>
    <row r="782" spans="1:26">
      <c r="A782" s="62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1"/>
    </row>
    <row r="783" spans="1:26">
      <c r="A783" s="62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1"/>
    </row>
    <row r="784" spans="1:26">
      <c r="A784" s="62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1"/>
    </row>
    <row r="785" spans="1:26">
      <c r="A785" s="62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1"/>
    </row>
    <row r="786" spans="1:26">
      <c r="A786" s="62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1"/>
    </row>
    <row r="787" spans="1:26">
      <c r="A787" s="62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1"/>
    </row>
    <row r="788" spans="1:26">
      <c r="A788" s="62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1"/>
    </row>
    <row r="789" spans="1:26">
      <c r="A789" s="62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1"/>
    </row>
    <row r="790" spans="1:26">
      <c r="A790" s="62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1"/>
    </row>
    <row r="791" spans="1:26">
      <c r="A791" s="62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1"/>
    </row>
    <row r="792" spans="1:26">
      <c r="A792" s="62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1"/>
    </row>
    <row r="793" spans="1:26">
      <c r="A793" s="62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1"/>
    </row>
    <row r="794" spans="1:26">
      <c r="A794" s="62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1"/>
    </row>
    <row r="795" spans="1:26">
      <c r="A795" s="62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1"/>
    </row>
    <row r="796" spans="1:26">
      <c r="A796" s="62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1"/>
    </row>
    <row r="797" spans="1:26">
      <c r="A797" s="62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1"/>
    </row>
    <row r="798" spans="1:26">
      <c r="A798" s="62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1"/>
    </row>
    <row r="799" spans="1:26">
      <c r="A799" s="62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1"/>
    </row>
    <row r="800" spans="1:26">
      <c r="A800" s="62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1"/>
    </row>
    <row r="801" spans="1:26">
      <c r="A801" s="62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1"/>
    </row>
    <row r="802" spans="1:26">
      <c r="A802" s="62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1"/>
    </row>
    <row r="803" spans="1:26">
      <c r="A803" s="62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1"/>
    </row>
    <row r="804" spans="1:26">
      <c r="A804" s="62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1"/>
    </row>
    <row r="805" spans="1:26">
      <c r="A805" s="62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1"/>
    </row>
    <row r="806" spans="1:26">
      <c r="A806" s="62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1"/>
    </row>
    <row r="807" spans="1:26">
      <c r="A807" s="62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1"/>
    </row>
    <row r="808" spans="1:26">
      <c r="A808" s="62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1"/>
    </row>
    <row r="809" spans="1:26">
      <c r="A809" s="62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1"/>
    </row>
    <row r="810" spans="1:26">
      <c r="A810" s="62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1"/>
    </row>
    <row r="811" spans="1:26">
      <c r="A811" s="62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1"/>
    </row>
    <row r="812" spans="1:26">
      <c r="A812" s="62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1"/>
    </row>
    <row r="813" spans="1:26">
      <c r="A813" s="62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1"/>
    </row>
    <row r="814" spans="1:26">
      <c r="A814" s="62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1"/>
    </row>
    <row r="815" spans="1:26">
      <c r="A815" s="62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1"/>
    </row>
    <row r="816" spans="1:26">
      <c r="A816" s="62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1"/>
    </row>
    <row r="817" spans="1:26">
      <c r="A817" s="62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1"/>
    </row>
    <row r="818" spans="1:26">
      <c r="A818" s="62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1"/>
    </row>
    <row r="819" spans="1:26">
      <c r="A819" s="62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1"/>
    </row>
    <row r="820" spans="1:26">
      <c r="A820" s="62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1"/>
    </row>
    <row r="821" spans="1:26">
      <c r="A821" s="62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1"/>
    </row>
    <row r="822" spans="1:26">
      <c r="A822" s="62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1"/>
    </row>
    <row r="823" spans="1:26">
      <c r="A823" s="62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1"/>
    </row>
    <row r="824" spans="1:26">
      <c r="A824" s="62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1"/>
    </row>
    <row r="825" spans="1:26">
      <c r="A825" s="62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1"/>
    </row>
    <row r="826" spans="1:26">
      <c r="A826" s="62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1"/>
    </row>
    <row r="827" spans="1:26">
      <c r="A827" s="62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1"/>
    </row>
    <row r="828" spans="1:26">
      <c r="A828" s="62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1"/>
    </row>
    <row r="829" spans="1:26">
      <c r="A829" s="62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1"/>
    </row>
    <row r="830" spans="1:26">
      <c r="A830" s="62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1"/>
    </row>
    <row r="831" spans="1:26">
      <c r="A831" s="62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1"/>
    </row>
    <row r="832" spans="1:26">
      <c r="A832" s="62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1"/>
    </row>
    <row r="833" spans="1:26">
      <c r="A833" s="62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1"/>
    </row>
    <row r="834" spans="1:26">
      <c r="A834" s="62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1"/>
    </row>
    <row r="835" spans="1:26">
      <c r="A835" s="62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1"/>
    </row>
    <row r="836" spans="1:26">
      <c r="A836" s="62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1"/>
    </row>
    <row r="837" spans="1:26">
      <c r="A837" s="62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1"/>
    </row>
    <row r="838" spans="1:26">
      <c r="A838" s="62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1"/>
    </row>
    <row r="839" spans="1:26">
      <c r="A839" s="62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1"/>
    </row>
    <row r="840" spans="1:26">
      <c r="A840" s="62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1"/>
    </row>
    <row r="841" spans="1:26">
      <c r="A841" s="62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1"/>
    </row>
    <row r="842" spans="1:26">
      <c r="A842" s="62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1"/>
    </row>
    <row r="843" spans="1:26">
      <c r="A843" s="62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1"/>
    </row>
    <row r="844" spans="1:26">
      <c r="A844" s="62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1"/>
    </row>
    <row r="845" spans="1:26">
      <c r="A845" s="62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1"/>
    </row>
    <row r="846" spans="1:26">
      <c r="A846" s="62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1"/>
    </row>
    <row r="847" spans="1:26">
      <c r="A847" s="62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1"/>
    </row>
    <row r="848" spans="1:26">
      <c r="A848" s="62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1"/>
    </row>
    <row r="849" spans="1:26">
      <c r="A849" s="62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1"/>
    </row>
    <row r="850" spans="1:26">
      <c r="A850" s="62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1"/>
    </row>
    <row r="851" spans="1:26">
      <c r="A851" s="62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1"/>
    </row>
    <row r="852" spans="1:26">
      <c r="A852" s="62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1"/>
    </row>
    <row r="853" spans="1:26">
      <c r="A853" s="62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1"/>
    </row>
    <row r="854" spans="1:26">
      <c r="A854" s="62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1"/>
    </row>
    <row r="855" spans="1:26">
      <c r="A855" s="62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1"/>
    </row>
    <row r="856" spans="1:26">
      <c r="A856" s="62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1"/>
    </row>
    <row r="857" spans="1:26">
      <c r="A857" s="62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1"/>
    </row>
    <row r="858" spans="1:26">
      <c r="A858" s="62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1"/>
    </row>
    <row r="859" spans="1:26">
      <c r="A859" s="62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1"/>
    </row>
    <row r="860" spans="1:26">
      <c r="A860" s="62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1"/>
    </row>
    <row r="861" spans="1:26">
      <c r="A861" s="62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1"/>
    </row>
    <row r="862" spans="1:26">
      <c r="A862" s="62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1"/>
    </row>
    <row r="863" spans="1:26">
      <c r="A863" s="62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1"/>
    </row>
    <row r="864" spans="1:26">
      <c r="A864" s="62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1"/>
    </row>
    <row r="865" spans="1:26">
      <c r="A865" s="62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1"/>
    </row>
    <row r="866" spans="1:26">
      <c r="A866" s="62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1"/>
    </row>
    <row r="867" spans="1:26">
      <c r="A867" s="62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1"/>
    </row>
    <row r="868" spans="1:26">
      <c r="A868" s="62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1"/>
    </row>
    <row r="869" spans="1:26">
      <c r="A869" s="62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1"/>
    </row>
    <row r="870" spans="1:26">
      <c r="A870" s="62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1"/>
    </row>
    <row r="871" spans="1:26">
      <c r="A871" s="62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1"/>
    </row>
    <row r="872" spans="1:26">
      <c r="A872" s="62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1"/>
    </row>
    <row r="873" spans="1:26">
      <c r="A873" s="62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1"/>
    </row>
    <row r="874" spans="1:26">
      <c r="A874" s="62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1"/>
    </row>
    <row r="875" spans="1:26">
      <c r="A875" s="62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1"/>
    </row>
    <row r="876" spans="1:26">
      <c r="A876" s="62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1"/>
    </row>
    <row r="877" spans="1:26">
      <c r="A877" s="62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1"/>
    </row>
    <row r="878" spans="1:26">
      <c r="A878" s="62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1"/>
    </row>
    <row r="879" spans="1:26">
      <c r="A879" s="62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1"/>
    </row>
    <row r="880" spans="1:26">
      <c r="A880" s="62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1"/>
    </row>
    <row r="881" spans="1:26">
      <c r="A881" s="62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1"/>
    </row>
    <row r="882" spans="1:26">
      <c r="A882" s="62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1"/>
    </row>
    <row r="883" spans="1:26">
      <c r="A883" s="62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1"/>
    </row>
    <row r="884" spans="1:26">
      <c r="A884" s="62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1"/>
    </row>
    <row r="885" spans="1:26">
      <c r="A885" s="62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1"/>
    </row>
    <row r="886" spans="1:26">
      <c r="A886" s="62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1"/>
    </row>
    <row r="887" spans="1:26">
      <c r="A887" s="62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1"/>
    </row>
    <row r="888" spans="1:26">
      <c r="A888" s="62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1"/>
    </row>
    <row r="889" spans="1:26">
      <c r="A889" s="62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1"/>
    </row>
    <row r="890" spans="1:26">
      <c r="A890" s="62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1"/>
    </row>
    <row r="891" spans="1:26">
      <c r="A891" s="62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1"/>
    </row>
    <row r="892" spans="1:26">
      <c r="A892" s="62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1"/>
    </row>
    <row r="893" spans="1:26">
      <c r="A893" s="62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1"/>
    </row>
    <row r="894" spans="1:26">
      <c r="A894" s="62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1"/>
    </row>
    <row r="895" spans="1:26">
      <c r="A895" s="62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1"/>
    </row>
    <row r="896" spans="1:26">
      <c r="A896" s="62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1"/>
    </row>
    <row r="897" spans="1:26">
      <c r="A897" s="62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1"/>
    </row>
    <row r="898" spans="1:26">
      <c r="A898" s="62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1"/>
    </row>
    <row r="899" spans="1:26">
      <c r="A899" s="62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1"/>
    </row>
    <row r="900" spans="1:26">
      <c r="A900" s="62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1"/>
    </row>
    <row r="901" spans="1:26">
      <c r="A901" s="62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1"/>
    </row>
    <row r="902" spans="1:26">
      <c r="A902" s="62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1"/>
    </row>
    <row r="903" spans="1:26">
      <c r="A903" s="62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1"/>
    </row>
    <row r="904" spans="1:26">
      <c r="A904" s="62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1"/>
    </row>
    <row r="905" spans="1:26">
      <c r="A905" s="62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1"/>
    </row>
    <row r="906" spans="1:26">
      <c r="A906" s="62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1"/>
    </row>
    <row r="907" spans="1:26">
      <c r="A907" s="62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1"/>
    </row>
    <row r="908" spans="1:26">
      <c r="A908" s="62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1"/>
    </row>
    <row r="909" spans="1:26">
      <c r="A909" s="62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1"/>
    </row>
    <row r="910" spans="1:26">
      <c r="A910" s="62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1"/>
    </row>
    <row r="911" spans="1:26">
      <c r="A911" s="62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1"/>
    </row>
    <row r="912" spans="1:26">
      <c r="A912" s="62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1"/>
    </row>
    <row r="913" spans="1:26">
      <c r="A913" s="62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1"/>
    </row>
    <row r="914" spans="1:26">
      <c r="A914" s="62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1"/>
    </row>
    <row r="915" spans="1:26">
      <c r="A915" s="62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1"/>
    </row>
    <row r="916" spans="1:26">
      <c r="A916" s="62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1"/>
    </row>
    <row r="917" spans="1:26">
      <c r="A917" s="62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1"/>
    </row>
    <row r="918" spans="1:26">
      <c r="A918" s="62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1"/>
    </row>
    <row r="919" spans="1:26">
      <c r="A919" s="62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1"/>
    </row>
    <row r="920" spans="1:26">
      <c r="A920" s="62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1"/>
    </row>
    <row r="921" spans="1:26">
      <c r="A921" s="62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1"/>
    </row>
    <row r="922" spans="1:26">
      <c r="A922" s="62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1"/>
    </row>
    <row r="923" spans="1:26">
      <c r="A923" s="62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1"/>
    </row>
    <row r="924" spans="1:26">
      <c r="A924" s="62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1"/>
    </row>
    <row r="925" spans="1:26">
      <c r="A925" s="62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1"/>
    </row>
    <row r="926" spans="1:26">
      <c r="A926" s="62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1"/>
    </row>
    <row r="927" spans="1:26">
      <c r="A927" s="62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1"/>
    </row>
    <row r="928" spans="1:26">
      <c r="A928" s="62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1"/>
    </row>
    <row r="929" spans="1:26">
      <c r="A929" s="62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1"/>
    </row>
    <row r="930" spans="1:26">
      <c r="A930" s="62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1"/>
    </row>
    <row r="931" spans="1:26">
      <c r="A931" s="62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1"/>
    </row>
    <row r="932" spans="1:26">
      <c r="A932" s="62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1"/>
    </row>
    <row r="933" spans="1:26">
      <c r="A933" s="62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1"/>
    </row>
    <row r="934" spans="1:26">
      <c r="A934" s="62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1"/>
    </row>
    <row r="935" spans="1:26">
      <c r="A935" s="62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1"/>
    </row>
    <row r="936" spans="1:26">
      <c r="A936" s="62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1"/>
    </row>
    <row r="937" spans="1:26">
      <c r="A937" s="62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1"/>
    </row>
    <row r="938" spans="1:26">
      <c r="A938" s="62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1"/>
    </row>
    <row r="939" spans="1:26">
      <c r="A939" s="62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1"/>
    </row>
    <row r="940" spans="1:26">
      <c r="A940" s="62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1"/>
    </row>
    <row r="941" spans="1:26">
      <c r="A941" s="62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1"/>
    </row>
    <row r="942" spans="1:26">
      <c r="A942" s="62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1"/>
    </row>
    <row r="943" spans="1:26">
      <c r="A943" s="62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1"/>
    </row>
    <row r="944" spans="1:26">
      <c r="A944" s="62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1"/>
    </row>
    <row r="945" spans="1:26">
      <c r="A945" s="62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1"/>
    </row>
    <row r="946" spans="1:26">
      <c r="A946" s="62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1"/>
    </row>
    <row r="947" spans="1:26">
      <c r="A947" s="62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1"/>
    </row>
    <row r="948" spans="1:26">
      <c r="A948" s="62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1"/>
    </row>
    <row r="949" spans="1:26">
      <c r="A949" s="62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1"/>
    </row>
    <row r="950" spans="1:26">
      <c r="A950" s="62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1"/>
    </row>
    <row r="951" spans="1:26">
      <c r="A951" s="62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1"/>
    </row>
    <row r="952" spans="1:26">
      <c r="A952" s="62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1"/>
    </row>
    <row r="953" spans="1:26">
      <c r="A953" s="62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1"/>
    </row>
    <row r="954" spans="1:26">
      <c r="A954" s="62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1"/>
    </row>
    <row r="955" spans="1:26">
      <c r="A955" s="62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1"/>
    </row>
    <row r="956" spans="1:26">
      <c r="A956" s="62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1"/>
    </row>
    <row r="957" spans="1:26">
      <c r="A957" s="62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1"/>
    </row>
    <row r="958" spans="1:26">
      <c r="A958" s="62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1"/>
    </row>
    <row r="959" spans="1:26">
      <c r="A959" s="62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1"/>
    </row>
    <row r="960" spans="1:26">
      <c r="A960" s="62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1"/>
    </row>
    <row r="961" spans="1:26">
      <c r="A961" s="62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1"/>
    </row>
    <row r="962" spans="1:26">
      <c r="A962" s="62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1"/>
    </row>
    <row r="963" spans="1:26">
      <c r="A963" s="62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1"/>
    </row>
    <row r="964" spans="1:26">
      <c r="A964" s="62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1"/>
    </row>
    <row r="965" spans="1:26">
      <c r="A965" s="62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1"/>
    </row>
    <row r="966" spans="1:26">
      <c r="A966" s="62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1"/>
    </row>
    <row r="967" spans="1:26">
      <c r="A967" s="62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1"/>
    </row>
    <row r="968" spans="1:26">
      <c r="A968" s="62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1"/>
    </row>
    <row r="969" spans="1:26">
      <c r="A969" s="62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1"/>
    </row>
    <row r="970" spans="1:26">
      <c r="A970" s="62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1"/>
    </row>
    <row r="971" spans="1:26">
      <c r="A971" s="62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1"/>
    </row>
    <row r="972" spans="1:26">
      <c r="A972" s="62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1"/>
    </row>
    <row r="973" spans="1:26">
      <c r="A973" s="62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1"/>
    </row>
    <row r="974" spans="1:26">
      <c r="A974" s="62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1"/>
    </row>
    <row r="975" spans="1:26">
      <c r="A975" s="62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1"/>
    </row>
    <row r="976" spans="1:26">
      <c r="A976" s="62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1"/>
    </row>
    <row r="977" spans="1:26">
      <c r="A977" s="62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1"/>
    </row>
    <row r="978" spans="1:26">
      <c r="A978" s="62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1"/>
    </row>
    <row r="979" spans="1:26">
      <c r="A979" s="62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1"/>
    </row>
    <row r="980" spans="1:26">
      <c r="A980" s="62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1"/>
    </row>
    <row r="981" spans="1:26">
      <c r="A981" s="62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1"/>
    </row>
    <row r="982" spans="1:26">
      <c r="A982" s="62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1"/>
    </row>
    <row r="983" spans="1:26">
      <c r="A983" s="62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1"/>
    </row>
    <row r="984" spans="1:26">
      <c r="A984" s="62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1"/>
    </row>
    <row r="985" spans="1:26">
      <c r="A985" s="62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1"/>
    </row>
    <row r="986" spans="1:26">
      <c r="A986" s="62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1"/>
    </row>
    <row r="987" spans="1:26">
      <c r="A987" s="62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1"/>
    </row>
    <row r="988" spans="1:26">
      <c r="A988" s="62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1"/>
    </row>
    <row r="989" spans="1:26">
      <c r="A989" s="62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1"/>
    </row>
    <row r="990" spans="1:26">
      <c r="A990" s="62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1"/>
    </row>
    <row r="991" spans="1:26">
      <c r="A991" s="62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1"/>
    </row>
    <row r="992" spans="1:26">
      <c r="A992" s="62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1"/>
    </row>
    <row r="993" spans="1:26">
      <c r="A993" s="62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1"/>
    </row>
    <row r="994" spans="1:26">
      <c r="A994" s="62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1"/>
    </row>
    <row r="995" spans="1:26">
      <c r="A995" s="62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1"/>
    </row>
    <row r="996" spans="1:26">
      <c r="A996" s="62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1"/>
    </row>
    <row r="997" spans="1:26">
      <c r="A997" s="62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1"/>
    </row>
    <row r="998" spans="1:26">
      <c r="A998" s="62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1"/>
    </row>
    <row r="999" spans="1:26">
      <c r="A999" s="62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1"/>
    </row>
    <row r="1000" spans="1:26">
      <c r="A1000" s="63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5"/>
    </row>
  </sheetData>
  <mergeCells count="6">
    <mergeCell ref="A72:P72"/>
    <mergeCell ref="D1:F1"/>
    <mergeCell ref="G1:I1"/>
    <mergeCell ref="A37:J37"/>
    <mergeCell ref="K37:L37"/>
    <mergeCell ref="M37:O37"/>
  </mergeCells>
  <hyperlinks>
    <hyperlink ref="B2" r:id="rId1" xr:uid="{A442B45F-ABBE-4DDB-8DC8-701F8571F5A1}"/>
    <hyperlink ref="C2" r:id="rId2" xr:uid="{45281C54-E10B-4AC4-842A-FC25B6D0880A}"/>
    <hyperlink ref="D2" r:id="rId3" xr:uid="{FBBE7767-B527-4C5A-AF85-119B98614EA8}"/>
    <hyperlink ref="E2" r:id="rId4" xr:uid="{A0774475-4B8D-468A-B13A-E318817F37E0}"/>
    <hyperlink ref="F2" r:id="rId5" xr:uid="{60BCD663-B463-44AB-B2C4-E8E8556F0B74}"/>
    <hyperlink ref="G2" r:id="rId6" xr:uid="{A8DBD1AF-82EE-4BB2-A364-E3F9B7D77033}"/>
    <hyperlink ref="H2" r:id="rId7" xr:uid="{3D52BDA8-400E-4CCD-A14B-F8046060B89B}"/>
    <hyperlink ref="I2" r:id="rId8" xr:uid="{A3FB4781-CDFB-4B77-8AA0-F3A3DC10AD4B}"/>
    <hyperlink ref="A3" r:id="rId9" xr:uid="{3435F460-5EF0-4345-BB47-086ECCBA63A7}"/>
    <hyperlink ref="A4" r:id="rId10" xr:uid="{C40D34A6-7086-4FB4-8E87-40652A66F8C2}"/>
    <hyperlink ref="A5" r:id="rId11" xr:uid="{53FBDA35-F0AE-4A40-AB1F-45BC06391D39}"/>
    <hyperlink ref="A6" r:id="rId12" xr:uid="{E50E45A0-DD6B-4356-B3D2-7A10550AAD20}"/>
    <hyperlink ref="A7" r:id="rId13" xr:uid="{C3F6F3EC-CED1-45CB-B00C-E122CAFCDED2}"/>
    <hyperlink ref="A8" r:id="rId14" xr:uid="{05A2DB2B-25C7-4989-B553-4971EA7A036C}"/>
    <hyperlink ref="A9" r:id="rId15" xr:uid="{804C562B-EFFE-439D-9D23-ADE35FA17257}"/>
    <hyperlink ref="A10" r:id="rId16" xr:uid="{ED3AD7EB-8C6B-4BA3-B025-325EC2DD86C6}"/>
    <hyperlink ref="A11" r:id="rId17" xr:uid="{BFB97C42-4035-4AFE-AAA6-D24825B2AC24}"/>
    <hyperlink ref="A12" r:id="rId18" xr:uid="{591DC0AC-8E70-4675-88A1-96746024EB88}"/>
    <hyperlink ref="A13" r:id="rId19" xr:uid="{C8119020-EE58-468B-AF55-FC4F9E861AD6}"/>
    <hyperlink ref="A14" r:id="rId20" xr:uid="{5EA60F48-479C-45F5-B107-1D1B4AA39F68}"/>
    <hyperlink ref="A15" r:id="rId21" xr:uid="{36698B96-47B4-493B-9F06-7E28A90FE71A}"/>
    <hyperlink ref="A16" r:id="rId22" xr:uid="{011F5C29-C868-4EA5-A131-E3C980BA7602}"/>
    <hyperlink ref="A17" r:id="rId23" xr:uid="{3DEF6640-7FE6-4ECA-A406-185D976822A3}"/>
    <hyperlink ref="A18" r:id="rId24" xr:uid="{AAD669F7-12CF-4B38-A724-F3C32DE0D2BF}"/>
    <hyperlink ref="A19" r:id="rId25" xr:uid="{1E19EA81-68B1-458A-8C09-B6423B7C7EFD}"/>
    <hyperlink ref="A20" r:id="rId26" xr:uid="{118699BE-61CF-4A41-96C8-B2535E0B5735}"/>
    <hyperlink ref="A21" r:id="rId27" xr:uid="{DD164F86-4161-4246-8A5B-7D6B9F211152}"/>
    <hyperlink ref="A22" r:id="rId28" xr:uid="{7E9E18D4-A930-499D-8D8D-80715551042C}"/>
    <hyperlink ref="A23" r:id="rId29" xr:uid="{9EE8A9F2-3886-46E3-8AE3-4E61C96BB027}"/>
    <hyperlink ref="A24" r:id="rId30" xr:uid="{DE75AF02-1B10-48FD-9534-A7E034CD2FF5}"/>
    <hyperlink ref="A25" r:id="rId31" xr:uid="{83632A59-8139-417C-99E7-A23E49C444B8}"/>
    <hyperlink ref="A26" r:id="rId32" xr:uid="{447EFA04-B085-41F8-8E44-2AED89F52446}"/>
    <hyperlink ref="A27" r:id="rId33" xr:uid="{1BB182EB-1160-4960-88CC-7FE5A09F84C0}"/>
    <hyperlink ref="A28" r:id="rId34" xr:uid="{92BB239E-37E9-434F-9CBA-FDE3AADFCD51}"/>
    <hyperlink ref="A29" r:id="rId35" xr:uid="{1BED453F-FB50-4BCB-9538-582A6807C78A}"/>
    <hyperlink ref="A30" r:id="rId36" xr:uid="{04FFCECD-4641-49FC-A749-E18E81267A35}"/>
    <hyperlink ref="A31" r:id="rId37" xr:uid="{2A44737C-F6CB-4526-8C8D-389836405685}"/>
    <hyperlink ref="A32" r:id="rId38" xr:uid="{8321B703-D442-4F90-8D1C-EEE4E1370B43}"/>
    <hyperlink ref="A33" r:id="rId39" xr:uid="{8F8F7878-32DD-43EE-B806-1493EDBDABD8}"/>
    <hyperlink ref="A34" r:id="rId40" xr:uid="{215B82B9-60D9-4DEC-83FF-F6D622BA4967}"/>
    <hyperlink ref="A38" r:id="rId41" xr:uid="{3893A67F-71E9-460E-BCEC-2B5C6FF65FB8}"/>
    <hyperlink ref="B38" r:id="rId42" xr:uid="{F7DB7AAB-78B5-4EBD-B1D3-12468657C840}"/>
    <hyperlink ref="C38" r:id="rId43" xr:uid="{5917D8AE-751D-418B-9DE4-B1EB5F32F062}"/>
    <hyperlink ref="D38" r:id="rId44" xr:uid="{BBFD7C2D-996E-451B-B83E-BFB7BBE632E5}"/>
    <hyperlink ref="E38" r:id="rId45" xr:uid="{2518ED9E-9742-4735-A429-F636EE4C550B}"/>
    <hyperlink ref="F38" r:id="rId46" xr:uid="{D9175534-C7D2-4DF2-ACD1-BE7EAC9B8813}"/>
    <hyperlink ref="G38" r:id="rId47" xr:uid="{250DF4CB-9CCA-4FAA-8C8A-ADCD80BC961A}"/>
    <hyperlink ref="H38" r:id="rId48" xr:uid="{4858B02B-26B3-4C19-A023-850DF1D5B192}"/>
    <hyperlink ref="I38" r:id="rId49" xr:uid="{1CE44DF1-5AEB-4ABF-80F1-80AF377FEAA7}"/>
    <hyperlink ref="J38" r:id="rId50" xr:uid="{9A824C87-9AE6-4B47-80F4-919A6FD7E1A8}"/>
    <hyperlink ref="K38" r:id="rId51" xr:uid="{B4667F82-105A-4E53-84E8-9DDF0C2C0AB6}"/>
    <hyperlink ref="L38" r:id="rId52" xr:uid="{503F289F-A20D-4477-B9D5-39A3563AE955}"/>
    <hyperlink ref="M38" r:id="rId53" xr:uid="{712680B6-6E18-45C3-AB58-79DB4E3FAC97}"/>
    <hyperlink ref="N38" r:id="rId54" xr:uid="{1587E5A7-2958-428F-8EE8-DDF7E50601C1}"/>
    <hyperlink ref="O38" r:id="rId55" xr:uid="{E72F6F3F-9509-4C44-980D-6FCD84A5B20E}"/>
    <hyperlink ref="P38" r:id="rId56" xr:uid="{1DEEE874-FBF5-4FFB-A166-C62F83ED25CA}"/>
    <hyperlink ref="A39" r:id="rId57" xr:uid="{E4544B55-B05B-43C7-B709-855EA32A0460}"/>
    <hyperlink ref="A40" r:id="rId58" xr:uid="{068481DC-EE3B-46B2-AF3A-43DBBCC53119}"/>
    <hyperlink ref="A41" r:id="rId59" xr:uid="{5B1D15CC-1079-41BF-BAFB-6AB7979AE975}"/>
    <hyperlink ref="A42" r:id="rId60" xr:uid="{29066E92-1259-43E6-B120-4871A49F21CB}"/>
    <hyperlink ref="A43" r:id="rId61" xr:uid="{AEDE8DE8-FA4F-4109-B12D-36F2147E62A4}"/>
    <hyperlink ref="A44" r:id="rId62" xr:uid="{12AC3E15-9CEE-4575-9423-90C815AC94E1}"/>
    <hyperlink ref="A45" r:id="rId63" xr:uid="{05464A79-DAA0-48CC-A5E6-BD3F2DE861CD}"/>
    <hyperlink ref="A46" r:id="rId64" xr:uid="{ECCD89C6-4BEB-4654-8572-1769250EB97D}"/>
    <hyperlink ref="A47" r:id="rId65" xr:uid="{121487C5-A8B0-4AC3-B337-EA0861D92D82}"/>
    <hyperlink ref="A48" r:id="rId66" xr:uid="{C6C4E683-167D-487F-8937-27AECCF98FDD}"/>
    <hyperlink ref="A49" r:id="rId67" xr:uid="{96DAE191-A0ED-4470-99EB-513D9FB5837F}"/>
    <hyperlink ref="A50" r:id="rId68" xr:uid="{1685C72E-4950-45C1-B2E0-ACE655273B53}"/>
    <hyperlink ref="A51" r:id="rId69" xr:uid="{2324D24B-5DA0-4394-9A22-C92002CD589E}"/>
    <hyperlink ref="A52" r:id="rId70" xr:uid="{F2C05DBD-2E4A-4A24-9F1D-401F51BAFDB4}"/>
    <hyperlink ref="A53" r:id="rId71" xr:uid="{DDE76119-B15E-4379-9AB3-2BF0F0B5BBB1}"/>
    <hyperlink ref="A54" r:id="rId72" xr:uid="{11390AD0-E2A6-4AF2-9019-8F7BC13C42EE}"/>
    <hyperlink ref="A55" r:id="rId73" xr:uid="{3CEA6621-5C0E-4482-8AC9-E8D92C381274}"/>
    <hyperlink ref="A56" r:id="rId74" xr:uid="{81CC355A-4868-420C-8F31-3F61953BFECD}"/>
    <hyperlink ref="A57" r:id="rId75" xr:uid="{90A98742-4599-4ACE-BD0F-027C6175216D}"/>
    <hyperlink ref="A58" r:id="rId76" xr:uid="{365DCDED-D47C-40C1-90B1-531A947168D9}"/>
    <hyperlink ref="A59" r:id="rId77" xr:uid="{B523B6C4-4980-43A4-818B-E424EFCC50F5}"/>
    <hyperlink ref="A60" r:id="rId78" xr:uid="{09D7C457-2F17-45D1-AFFD-F41C0B04A700}"/>
    <hyperlink ref="A61" r:id="rId79" xr:uid="{9AD89D55-080A-4CF7-BE72-ED2A46667D35}"/>
    <hyperlink ref="A62" r:id="rId80" xr:uid="{83D05B6E-3FF9-48D8-9867-8F62569D4A06}"/>
    <hyperlink ref="A63" r:id="rId81" xr:uid="{D85C86A2-3FFC-4DBF-93B6-1672872426AF}"/>
    <hyperlink ref="A64" r:id="rId82" xr:uid="{6032E0E0-D524-4755-BBDE-A2B8179B8502}"/>
    <hyperlink ref="A65" r:id="rId83" xr:uid="{079C5DD9-3B3B-44A1-ABE8-B739EBA4C837}"/>
    <hyperlink ref="A66" r:id="rId84" xr:uid="{69F93130-D8C7-467C-BBC1-669E84BA6099}"/>
    <hyperlink ref="A67" r:id="rId85" xr:uid="{DDC939EC-89A7-407E-A7FF-93CB9CD4DF22}"/>
    <hyperlink ref="A68" r:id="rId86" xr:uid="{F3B16F70-046E-4D3F-AC65-71452423569B}"/>
    <hyperlink ref="A69" r:id="rId87" xr:uid="{2D8F0EF3-50EB-403C-B898-5F95BAA9B61B}"/>
    <hyperlink ref="A70" r:id="rId88" xr:uid="{96DE2B81-6B10-453D-A035-E6B75E0A95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Nicholas Green</cp:lastModifiedBy>
  <cp:revision/>
  <dcterms:created xsi:type="dcterms:W3CDTF">2026-02-23T04:51:48Z</dcterms:created>
  <dcterms:modified xsi:type="dcterms:W3CDTF">2026-05-31T12:23:30Z</dcterms:modified>
  <cp:category/>
  <cp:contentStatus/>
</cp:coreProperties>
</file>